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6ac5384d7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ables" sheetId="1" r:id="R7c8bcb59fc46477c"/>
    <x:sheet xmlns:r="http://schemas.openxmlformats.org/officeDocument/2006/relationships" name="Site_Components" sheetId="2" r:id="R883bd8d99ad64fc0"/>
    <x:sheet xmlns:r="http://schemas.openxmlformats.org/officeDocument/2006/relationships" name="Bill_of_Materials" sheetId="3" r:id="Rf85d5cea2ebd424c"/>
    <x:sheet xmlns:r="http://schemas.openxmlformats.org/officeDocument/2006/relationships" name="Ports_Cables" sheetId="4" r:id="R0c0bb097f8534f67"/>
    <x:sheet xmlns:r="http://schemas.openxmlformats.org/officeDocument/2006/relationships" name="Networks" sheetId="5" r:id="R295df59279894452"/>
    <x:sheet xmlns:r="http://schemas.openxmlformats.org/officeDocument/2006/relationships" name="Routes" sheetId="6" r:id="R2450fb45315248db"/>
    <x:sheet xmlns:r="http://schemas.openxmlformats.org/officeDocument/2006/relationships" name="Flows" sheetId="7" r:id="R957bcae62747475c"/>
    <x:sheet xmlns:r="http://schemas.openxmlformats.org/officeDocument/2006/relationships" name="Compute_Storage" sheetId="8" r:id="R289adc3c199a4640"/>
    <x:sheet xmlns:r="http://schemas.openxmlformats.org/officeDocument/2006/relationships" name="Service_Interfaces" sheetId="9" r:id="Racc40f509f304cbe"/>
    <x:sheet xmlns:r="http://schemas.openxmlformats.org/officeDocument/2006/relationships" name="Privilege_Ownership" sheetId="10" r:id="R4a8b7971c81343a9"/>
    <x:sheet xmlns:r="http://schemas.openxmlformats.org/officeDocument/2006/relationships" name="Dependencies" sheetId="11" r:id="R27e9e23f86234f49"/>
    <x:sheet xmlns:r="http://schemas.openxmlformats.org/officeDocument/2006/relationships" name="Stack_Tuples" sheetId="12" r:id="R58588850e17f4402"/>
    <x:sheet xmlns:r="http://schemas.openxmlformats.org/officeDocument/2006/relationships" name="Operation_Coverage" sheetId="13" r:id="R53e7739b52b04a68"/>
    <x:sheet xmlns:r="http://schemas.openxmlformats.org/officeDocument/2006/relationships" name="Capacity_Calc" sheetId="14" r:id="R0ad07f6421ae4ce9"/>
    <x:sheet xmlns:r="http://schemas.openxmlformats.org/officeDocument/2006/relationships" name="MTU_Calc" sheetId="15" r:id="R956473cc40494b08"/>
    <x:sheet xmlns:r="http://schemas.openxmlformats.org/officeDocument/2006/relationships" name="EX_Fixture" sheetId="16" r:id="R3e3b6ae9fb4e4cf8"/>
    <x:sheet xmlns:r="http://schemas.openxmlformats.org/officeDocument/2006/relationships" name="EX_MTU" sheetId="17" r:id="Rddf5ef88a47b4259"/>
    <x:sheet xmlns:r="http://schemas.openxmlformats.org/officeDocument/2006/relationships" name="EX_Capacity" sheetId="18" r:id="R26f69c7be63b4fef"/>
    <x:sheet xmlns:r="http://schemas.openxmlformats.org/officeDocument/2006/relationships" name="EX_Routes4" sheetId="19" r:id="Rbb42adf8532a41bb"/>
    <x:sheet xmlns:r="http://schemas.openxmlformats.org/officeDocument/2006/relationships" name="EX_Routes6" sheetId="20" r:id="Rb6f9ca42757c4f3e"/>
    <x:sheet xmlns:r="http://schemas.openxmlformats.org/officeDocument/2006/relationships" name="EX_Flows" sheetId="21" r:id="R9d67fb3b3dcd4c37"/>
    <x:sheet xmlns:r="http://schemas.openxmlformats.org/officeDocument/2006/relationships" name="EX_Handoffs" sheetId="22" r:id="R9f2a98c965ea409c"/>
    <x:sheet xmlns:r="http://schemas.openxmlformats.org/officeDocument/2006/relationships" name="Service_Parameters" sheetId="23" r:id="R27ac4e9bc9704887"/>
    <x:sheet xmlns:r="http://schemas.openxmlformats.org/officeDocument/2006/relationships" name="Start" sheetId="24" r:id="Rd139082a4ce1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21333C"/>
      <x:name val="Carlito"/>
    </x:font>
    <x:font>
      <x:sz val="10"/>
      <x:color rgb="FF21333C"/>
      <x:name val="Calibri"/>
    </x:font>
    <x:font>
      <x:b/>
      <x:sz val="10"/>
      <x:color rgb="FFFFFFFF"/>
      <x:name val="Calibri"/>
    </x:font>
    <x:font>
      <x:b/>
      <x:sz val="11"/>
      <x:color rgb="FF21333C"/>
      <x:name val="Carlito"/>
    </x:font>
    <x:font>
      <x:b/>
      <x:sz val="18"/>
      <x:color rgb="FFFFFFFF"/>
      <x:name val="Carlito"/>
    </x:font>
    <x:font>
      <x:sz val="11"/>
      <x:color rgb="FF21333C"/>
      <x:name val="Carlito"/>
    </x:font>
    <x:font>
      <x:sz val="12"/>
      <x:color rgb="FF21333C"/>
      <x:name val="Carlito"/>
    </x:font>
    <x:font>
      <x:b/>
      <x:sz val="12"/>
      <x:color rgb="FF2133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84A"/>
      </x:patternFill>
    </x:fill>
    <x:fill>
      <x:patternFill patternType="solid">
        <x:fgColor rgb="FFEAF6F4"/>
      </x:patternFill>
    </x:fill>
    <x:fill>
      <x:patternFill patternType="solid">
        <x:fgColor rgb="FFEEF5F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ont>
        <x:color rgb="FFA03216"/>
      </x:font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e62f366364632" /><Relationship Type="http://schemas.openxmlformats.org/officeDocument/2006/relationships/theme" Target="/xl/theme/theme1.xml" Id="R364d03493b744737" /><Relationship Type="http://schemas.openxmlformats.org/officeDocument/2006/relationships/sharedStrings" Target="/xl/sharedStrings.xml" Id="Rbcf92702627b4564" /><Relationship Type="http://schemas.openxmlformats.org/officeDocument/2006/relationships/worksheet" Target="/xl/worksheets/sheet1.xml" Id="R7c8bcb59fc46477c" /><Relationship Type="http://schemas.openxmlformats.org/officeDocument/2006/relationships/worksheet" Target="/xl/worksheets/sheet2.xml" Id="R883bd8d99ad64fc0" /><Relationship Type="http://schemas.openxmlformats.org/officeDocument/2006/relationships/worksheet" Target="/xl/worksheets/sheet3.xml" Id="Rf85d5cea2ebd424c" /><Relationship Type="http://schemas.openxmlformats.org/officeDocument/2006/relationships/worksheet" Target="/xl/worksheets/sheet4.xml" Id="R0c0bb097f8534f67" /><Relationship Type="http://schemas.openxmlformats.org/officeDocument/2006/relationships/worksheet" Target="/xl/worksheets/sheet5.xml" Id="R295df59279894452" /><Relationship Type="http://schemas.openxmlformats.org/officeDocument/2006/relationships/worksheet" Target="/xl/worksheets/sheet6.xml" Id="R2450fb45315248db" /><Relationship Type="http://schemas.openxmlformats.org/officeDocument/2006/relationships/worksheet" Target="/xl/worksheets/sheet7.xml" Id="R957bcae62747475c" /><Relationship Type="http://schemas.openxmlformats.org/officeDocument/2006/relationships/worksheet" Target="/xl/worksheets/sheet8.xml" Id="R289adc3c199a4640" /><Relationship Type="http://schemas.openxmlformats.org/officeDocument/2006/relationships/worksheet" Target="/xl/worksheets/sheet9.xml" Id="Racc40f509f304cbe" /><Relationship Type="http://schemas.openxmlformats.org/officeDocument/2006/relationships/worksheet" Target="/xl/worksheets/sheet10.xml" Id="R4a8b7971c81343a9" /><Relationship Type="http://schemas.openxmlformats.org/officeDocument/2006/relationships/worksheet" Target="/xl/worksheets/sheet11.xml" Id="R27e9e23f86234f49" /><Relationship Type="http://schemas.openxmlformats.org/officeDocument/2006/relationships/worksheet" Target="/xl/worksheets/sheet12.xml" Id="R58588850e17f4402" /><Relationship Type="http://schemas.openxmlformats.org/officeDocument/2006/relationships/worksheet" Target="/xl/worksheets/sheet13.xml" Id="R53e7739b52b04a68" /><Relationship Type="http://schemas.openxmlformats.org/officeDocument/2006/relationships/worksheet" Target="/xl/worksheets/sheet14.xml" Id="R0ad07f6421ae4ce9" /><Relationship Type="http://schemas.openxmlformats.org/officeDocument/2006/relationships/worksheet" Target="/xl/worksheets/sheet15.xml" Id="R956473cc40494b08" /><Relationship Type="http://schemas.openxmlformats.org/officeDocument/2006/relationships/worksheet" Target="/xl/worksheets/sheet16.xml" Id="R3e3b6ae9fb4e4cf8" /><Relationship Type="http://schemas.openxmlformats.org/officeDocument/2006/relationships/worksheet" Target="/xl/worksheets/sheet17.xml" Id="Rddf5ef88a47b4259" /><Relationship Type="http://schemas.openxmlformats.org/officeDocument/2006/relationships/worksheet" Target="/xl/worksheets/sheet18.xml" Id="R26f69c7be63b4fef" /><Relationship Type="http://schemas.openxmlformats.org/officeDocument/2006/relationships/worksheet" Target="/xl/worksheets/sheet19.xml" Id="Rbb42adf8532a41bb" /><Relationship Type="http://schemas.openxmlformats.org/officeDocument/2006/relationships/worksheet" Target="/xl/worksheets/sheet20.xml" Id="Rb6f9ca42757c4f3e" /><Relationship Type="http://schemas.openxmlformats.org/officeDocument/2006/relationships/worksheet" Target="/xl/worksheets/sheet21.xml" Id="R9d67fb3b3dcd4c37" /><Relationship Type="http://schemas.openxmlformats.org/officeDocument/2006/relationships/worksheet" Target="/xl/worksheets/sheet22.xml" Id="R9f2a98c965ea409c" /><Relationship Type="http://schemas.openxmlformats.org/officeDocument/2006/relationships/worksheet" Target="/xl/worksheets/sheet23.xml" Id="R27ac4e9bc9704887" /><Relationship Type="http://schemas.openxmlformats.org/officeDocument/2006/relationships/worksheet" Target="/xl/worksheets/sheet24.xml" Id="Rd139082a4ce14c13" /></Relationships>
</file>

<file path=xl/tables/table1.xml><?xml version="1.0" encoding="utf-8"?>
<x:table xmlns:x="http://schemas.openxmlformats.org/spreadsheetml/2006/main" id="1" name="T_Deliverables" displayName="T_Deliverables" ref="A5:I14" headerRowCount="1" totalsRowCount="0" totalsRowShown="0">
  <x:tableColumns count="9">
    <x:tableColumn id="1" name="ID"/>
    <x:tableColumn id="2" name="Deliverable"/>
    <x:tableColumn id="3" name="Owner role"/>
    <x:tableColumn id="4" name="Actual owner"/>
    <x:tableColumn id="5" name="Gate"/>
    <x:tableColumn id="6" name="Status"/>
    <x:tableColumn id="7" name="Acceptance evidence"/>
    <x:tableColumn id="8" name="Decision reference"/>
    <x:tableColumn id="9" name="Base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iteComponents" displayName="T_SiteComponents" ref="A5:I17" headerRowCount="1" totalsRowCount="0" totalsRowShown="0">
  <x:tableColumns count="9">
    <x:tableColumn id="1" name="Role ID"/>
    <x:tableColumn id="2" name="Infrastructure role"/>
    <x:tableColumn id="3" name="Owner role"/>
    <x:tableColumn id="4" name="Actual component ID"/>
    <x:tableColumn id="5" name="Site / rack / failure group"/>
    <x:tableColumn id="6" name="Product / version"/>
    <x:tableColumn id="7" name="Management path"/>
    <x:tableColumn id="8" name="Power / network / storage dependencies"/>
    <x:tableColumn id="9" name="Evidence /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BillofMaterials" displayName="T_BillofMaterials" ref="A5:J17" headerRowCount="1" totalsRowCount="0" totalsRowShown="0">
  <x:tableColumns count="10">
    <x:tableColumn id="1" name="Line"/>
    <x:tableColumn id="2" name="Role / required outcome"/>
    <x:tableColumn id="3" name="Selected manufacturer / model"/>
    <x:tableColumn id="4" name="Quantity"/>
    <x:tableColumn id="5" name="Unit"/>
    <x:tableColumn id="6" name="Firmware / driver"/>
    <x:tableColumn id="7" name="Compatibility evidence"/>
    <x:tableColumn id="8" name="Support / entitlement expiry"/>
    <x:tableColumn id="9" name="Delivery / custody"/>
    <x:tableColumn id="10" name="Owner / 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ortsCables" displayName="T_PortsCables" ref="A5:J17" headerRowCount="1" totalsRowCount="0" totalsRowShown="0">
  <x:tableColumns count="10">
    <x:tableColumn id="1" name="Link ID"/>
    <x:tableColumn id="2" name="A device / port"/>
    <x:tableColumn id="3" name="B device / port"/>
    <x:tableColumn id="4" name="Role / tenant scope"/>
    <x:tableColumn id="5" name="Media / optics / speed"/>
    <x:tableColumn id="6" name="MTU definition / value"/>
    <x:tableColumn id="7" name="Teaming / multihoming"/>
    <x:tableColumn id="8" name="Rack / power dependency"/>
    <x:tableColumn id="9" name="Installation receipt"/>
    <x:tableColumn id="10" name="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Networks" displayName="T_Networks" ref="A5:J17" headerRowCount="1" totalsRowCount="0" totalsRowShown="0">
  <x:tableColumns count="10">
    <x:tableColumn id="1" name="Network ID"/>
    <x:tableColumn id="2" name="Domain / tenant / zone"/>
    <x:tableColumn id="3" name="Site / platform"/>
    <x:tableColumn id="4" name="Address-family mode"/>
    <x:tableColumn id="5" name="Actual prefix / allocation"/>
    <x:tableColumn id="6" name="Gateway / owner"/>
    <x:tableColumn id="7" name="DHCP / RA / DNS"/>
    <x:tableColumn id="8" name="VLAN / VNI / RT authority"/>
    <x:tableColumn id="9" name="Handoff / ZIP"/>
    <x:tableColumn id="10" name="Decision /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outes" displayName="T_Routes" ref="A5:K17" headerRowCount="1" totalsRowCount="0" totalsRowShown="0">
  <x:tableColumns count="11">
    <x:tableColumn id="1" name="Route ID"/>
    <x:tableColumn id="2" name="Routing owner / context"/>
    <x:tableColumn id="3" name="Family"/>
    <x:tableColumn id="4" name="Destination / allowed set"/>
    <x:tableColumn id="5" name="Next hop / interface"/>
    <x:tableColumn id="6" name="Next component"/>
    <x:tableColumn id="7" name="Source / import restrictions"/>
    <x:tableColumn id="8" name="Return route / owner"/>
    <x:tableColumn id="9" name="Enforcement / policy"/>
    <x:tableColumn id="10" name="Failure behaviour"/>
    <x:tableColumn id="11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Flows" displayName="T_Flows" ref="A5:K17" headerRowCount="1" totalsRowCount="0" totalsRowShown="0">
  <x:tableColumns count="11">
    <x:tableColumn id="1" name="Flow ID"/>
    <x:tableColumn id="2" name="Source identity"/>
    <x:tableColumn id="3" name="Destination / service"/>
    <x:tableColumn id="4" name="Initiation / reply"/>
    <x:tableColumn id="5" name="Protocol / ports / type-code"/>
    <x:tableColumn id="6" name="Family"/>
    <x:tableColumn id="7" name="TLS / authentication"/>
    <x:tableColumn id="8" name="Enforcement point"/>
    <x:tableColumn id="9" name="Authority / expiry"/>
    <x:tableColumn id="10" name="Expected denial"/>
    <x:tableColumn id="11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ComputeStorage" displayName="T_ComputeStorage" ref="A5:J15" headerRowCount="1" totalsRowCount="0" totalsRowShown="0">
  <x:tableColumns count="10">
    <x:tableColumn id="1" name="Resource ID"/>
    <x:tableColumn id="2" name="Role / WSD / domain"/>
    <x:tableColumn id="3" name="Native pool / placement"/>
    <x:tableColumn id="4" name="vCPU / memory requirement"/>
    <x:tableColumn id="5" name="Storage class / amount"/>
    <x:tableColumn id="6" name="Image / boot / device"/>
    <x:tableColumn id="7" name="Key client / custody"/>
    <x:tableColumn id="8" name="Copy / backup / retention"/>
    <x:tableColumn id="9" name="Failure / restart constraints"/>
    <x:tableColumn id="10" name="Owner /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erviceInterfaces" displayName="T_ServiceInterfaces" ref="A5:H16" headerRowCount="1" totalsRowCount="0" totalsRowShown="0">
  <x:tableColumns count="8">
    <x:tableColumn id="1" name="Service"/>
    <x:tableColumn id="2" name="Consumer / actual client"/>
    <x:tableColumn id="3" name="Consumption endpoint / protocol"/>
    <x:tableColumn id="4" name="Entitlement / data scope"/>
    <x:tableColumn id="5" name="Separate management path"/>
    <x:tableColumn id="6" name="Reply / source policy"/>
    <x:tableColumn id="7" name="Bootstrap / recovery dependency"/>
    <x:tableColumn id="8" name="Owner / 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PrivilegeOwnership" displayName="T_PrivilegeOwnership" ref="A5:H14" headerRowCount="1" totalsRowCount="0" totalsRowShown="0">
  <x:tableColumns count="8">
    <x:tableColumn id="1" name="Scope"/>
    <x:tableColumn id="2" name="Native resources / operations"/>
    <x:tableColumn id="3" name="Authoritative tool"/>
    <x:tableColumn id="4" name="Actual role / owner"/>
    <x:tableColumn id="5" name="Credential custody reference"/>
    <x:tableColumn id="6" name="Allowed API / network targets"/>
    <x:tableColumn id="7" name="Review / revocation"/>
    <x:tableColumn id="8" name="Competing writer dispos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Dependencies" displayName="T_Dependencies" ref="A5:H17" headerRowCount="1" totalsRowCount="0" totalsRowShown="0">
  <x:tableColumns count="8">
    <x:tableColumn id="1" name="Dependency ID"/>
    <x:tableColumn id="2" name="Consuming component"/>
    <x:tableColumn id="3" name="Required service"/>
    <x:tableColumn id="4" name="Data / admin / bootstrap"/>
    <x:tableColumn id="5" name="Failure / partition scenario"/>
    <x:tableColumn id="6" name="Expected surviving behaviour"/>
    <x:tableColumn id="7" name="Independent recovery path"/>
    <x:tableColumn id="8" name="Accepted owner / ev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tackTuples" displayName="T_StackTuples" ref="A5:J15" headerRowCount="1" totalsRowCount="0" totalsRowShown="0">
  <x:tableColumns count="10">
    <x:tableColumn id="1" name="Track"/>
    <x:tableColumn id="2" name="Product / release"/>
    <x:tableColumn id="3" name="API / backend"/>
    <x:tableColumn id="4" name="Provider / version"/>
    <x:tableColumn id="5" name="Installer / lifecycle"/>
    <x:tableColumn id="6" name="Hardware / firmware / driver"/>
    <x:tableColumn id="7" name="Features / entitlement"/>
    <x:tableColumn id="8" name="Gateway / HA / topology"/>
    <x:tableColumn id="9" name="Support reference / limitation"/>
    <x:tableColumn id="10" name="Qualific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OperationCoverage" displayName="T_OperationCoverage" ref="A5:L20" headerRowCount="1" totalsRowCount="0" totalsRowShown="0">
  <x:tableColumns count="12">
    <x:tableColumn id="1" name="Track"/>
    <x:tableColumn id="2" name="Native resource scope"/>
    <x:tableColumn id="3" name="Owner role"/>
    <x:tableColumn id="4" name="Observe"/>
    <x:tableColumn id="5" name="Create"/>
    <x:tableColumn id="6" name="Update"/>
    <x:tableColumn id="7" name="Adopt / import"/>
    <x:tableColumn id="8" name="Replace"/>
    <x:tableColumn id="9" name="Delete"/>
    <x:tableColumn id="10" name="Unknown outcome recovery"/>
    <x:tableColumn id="11" name="Tool / tuple / source"/>
    <x:tableColumn id="12" name="Accepted alternative / limit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CapacityCalc" displayName="T_CapacityCalc" ref="A5:I11" headerRowCount="1" totalsRowCount="0" totalsRowShown="0">
  <x:tableColumns count="9">
    <x:tableColumn id="1" name="Resource dimension"/>
    <x:tableColumn id="2" name="Unit"/>
    <x:tableColumn id="3" name="Surviving qualified capacity"/>
    <x:tableColumn id="4" name="Operational reserve"/>
    <x:tableColumn id="5" name="Existing commitment"/>
    <x:tableColumn id="6" name="Proposed increment"/>
    <x:tableColumn id="7" name="Headroom after allocation"/>
    <x:tableColumn id="8" name="Arithmetic result"/>
    <x:tableColumn id="9" name="Failure scenario / ev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MTUCalc" displayName="T_MTUCalc" ref="A5:M11" headerRowCount="1" totalsRowCount="0" totalsRowShown="0">
  <x:tableColumns count="13">
    <x:tableColumn id="1" name="Path ID"/>
    <x:tableColumn id="2" name="Workload IP bytes"/>
    <x:tableColumn id="3" name="Inner link header bytes"/>
    <x:tableColumn id="4" name="Tunnel header bytes"/>
    <x:tableColumn id="5" name="Transport header bytes"/>
    <x:tableColumn id="6" name="Outer IP header bytes"/>
    <x:tableColumn id="7" name="Extra tags / options bytes"/>
    <x:tableColumn id="8" name="Other encapsulation bytes"/>
    <x:tableColumn id="9" name="Outer IP total"/>
    <x:tableColumn id="10" name="Path outer-IP limit"/>
    <x:tableColumn id="11" name="Margin"/>
    <x:tableColumn id="12" name="Arithmetic result"/>
    <x:tableColumn id="13" name="Definition / evide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EXFixture" displayName="T_EXFixture" ref="A5:I9" headerRowCount="1" totalsRowCount="0" totalsRowShown="0">
  <x:tableColumns count="9">
    <x:tableColumn id="1" name="Endpoint role"/>
    <x:tableColumn id="2" name="Count"/>
    <x:tableColumn id="3" name="vCPU each"/>
    <x:tableColumn id="4" name="Memory GiB each"/>
    <x:tableColumn id="5" name="Boot GiB each"/>
    <x:tableColumn id="6" name="Data GiB each"/>
    <x:tableColumn id="7" name="Total vCPU"/>
    <x:tableColumn id="8" name="Total memory GiB"/>
    <x:tableColumn id="9" name="Total virtual disk GiB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EXMTU" displayName="T_EXMTU" ref="A5:K8" headerRowCount="1" totalsRowCount="0" totalsRowShown="0">
  <x:tableColumns count="11">
    <x:tableColumn id="1" name="Case"/>
    <x:tableColumn id="2" name="Workload IP"/>
    <x:tableColumn id="3" name="Inner Ethernet"/>
    <x:tableColumn id="4" name="VXLAN"/>
    <x:tableColumn id="5" name="UDP"/>
    <x:tableColumn id="6" name="Outer IP"/>
    <x:tableColumn id="7" name="Inner tag"/>
    <x:tableColumn id="8" name="Total outer IP"/>
    <x:tableColumn id="9" name="Outer-IP limit"/>
    <x:tableColumn id="10" name="Margin"/>
    <x:tableColumn id="11" name="Arithmetic resul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EXCapacity" displayName="T_EXCapacity" ref="A5:H8" headerRowCount="1" totalsRowCount="0" totalsRowShown="0">
  <x:tableColumns count="8">
    <x:tableColumn id="1" name="Dimension"/>
    <x:tableColumn id="2" name="Unit"/>
    <x:tableColumn id="3" name="Surviving capacity"/>
    <x:tableColumn id="4" name="Reserve"/>
    <x:tableColumn id="5" name="Existing commitment"/>
    <x:tableColumn id="6" name="Increment"/>
    <x:tableColumn id="7" name="Remaining"/>
    <x:tableColumn id="8" name="Arithmetic resul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EXRoutes4" displayName="T_EXRoutes4" ref="A5:E49" headerRowCount="1" totalsRowCount="0" totalsRowShown="0">
  <x:tableColumns count="5">
    <x:tableColumn id="1" name="Owner"/>
    <x:tableColumn id="2" name="Destination"/>
    <x:tableColumn id="3" name="Next Hop"/>
    <x:tableColumn id="4" name="Next Component"/>
    <x:tableColumn id="5" name="Restrictio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EXRoutes6" displayName="T_EXRoutes6" ref="A5:D45" headerRowCount="1" totalsRowCount="0" totalsRowShown="0">
  <x:tableColumns count="4">
    <x:tableColumn id="1" name="Owner"/>
    <x:tableColumn id="2" name="Destination"/>
    <x:tableColumn id="3" name="Next Hop"/>
    <x:tableColumn id="4" name="Next Componen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EXFlows" displayName="T_EXFlows" ref="A5:C14" headerRowCount="1" totalsRowCount="0" totalsRowShown="0">
  <x:tableColumns count="3">
    <x:tableColumn id="1" name="Flow"/>
    <x:tableColumn id="2" name="Destination And Operation"/>
    <x:tableColumn id="3" name="Restricti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EXHandoffs" displayName="T_EXHandoffs" ref="A5:C12" headerRowCount="1" totalsRowCount="0" totalsRowShown="0">
  <x:tableColumns count="3">
    <x:tableColumn id="1" name="Handoff"/>
    <x:tableColumn id="2" name="Example Addresses"/>
    <x:tableColumn id="3" name="Scop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ServiceParameters" displayName="T_ServiceParameters" ref="A5:G17" headerRowCount="1" totalsRowCount="0" totalsRowShown="0">
  <x:tableColumns count="7">
    <x:tableColumn id="1" name="Parameter"/>
    <x:tableColumn id="2" name="Actual approved value / unit"/>
    <x:tableColumn id="3" name="Source / rationale"/>
    <x:tableColumn id="4" name="Measurement method"/>
    <x:tableColumn id="5" name="Owner / authority"/>
    <x:tableColumn id="6" name="Effective / review"/>
    <x:tableColumn id="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478e8091c49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c908322cc94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ff77b678ad47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d3763cdbb147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23f1aee5b64a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16e08e3a8246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270c1b2641e41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130e4046e54c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c0a6389545244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b98c37006074a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b3a6e583f0045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5a67d8ad58a4a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5b9c569b5547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83072a0842d46c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810470a542744c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1721808091940a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dfed5e403a64c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9c1f0dd2d714a9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7b3950d1191438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1b1edafc3a7411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9364f608ba9450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2b6c674f2de491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2a7bf03c166404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22" hidden="0" customWidth="1"/>
    <x:col min="5" max="5" width="12" hidden="0" customWidth="1"/>
    <x:col min="6" max="6" width="21" hidden="0" customWidth="1"/>
    <x:col min="7" max="7" width="40" hidden="0" customWidth="1"/>
    <x:col min="8" max="8" width="26" hidden="0" customWidth="1"/>
    <x:col min="9" max="9" width="32" hidden="0" customWidth="1"/>
  </x:cols>
  <x:sheetData>
    <x:row r="1" ht="30" customHeight="1">
      <x:c r="A1" s="3" t="str">
        <x:v>Engineering delivery register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WORKING RECORD • Resolve actual support, values and execution ownership before an affected build.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ID</x:v>
      </x:c>
      <x:c r="B5" s="19" t="str">
        <x:v>Deliverable</x:v>
      </x:c>
      <x:c r="C5" s="19" t="str">
        <x:v>Owner role</x:v>
      </x:c>
      <x:c r="D5" s="19" t="str">
        <x:v>Actual owner</x:v>
      </x:c>
      <x:c r="E5" s="19" t="str">
        <x:v>Gate</x:v>
      </x:c>
      <x:c r="F5" s="19" t="str">
        <x:v>Status</x:v>
      </x:c>
      <x:c r="G5" s="19" t="str">
        <x:v>Acceptance evidence</x:v>
      </x:c>
      <x:c r="H5" s="19" t="str">
        <x:v>Decision reference</x:v>
      </x:c>
      <x:c r="I5" s="19" t="str">
        <x:v>Baseline</x:v>
      </x:c>
    </x:row>
    <x:row r="6" ht="48" customHeight="1">
      <x:c r="A6" s="14" t="str">
        <x:v>EK-01</x:v>
      </x:c>
      <x:c r="B6" s="14" t="str">
        <x:v>Site LLD and controlled design release</x:v>
      </x:c>
      <x:c r="C6" s="14" t="str">
        <x:v>Engineering lead</x:v>
      </x:c>
      <x:c r="D6" s="22" t="str"/>
      <x:c r="E6" s="14" t="str">
        <x:v>G1</x:v>
      </x:c>
      <x:c r="F6" s="22" t="str">
        <x:v>Not started</x:v>
      </x:c>
      <x:c r="G6" s="14" t="str">
        <x:v>Actual values and source references replace examples; reviewed topology and controlled revision identified.</x:v>
      </x:c>
      <x:c r="H6" s="22" t="str"/>
      <x:c r="I6" s="14" t="str">
        <x:v>RA §30; QUAL §2</x:v>
      </x:c>
    </x:row>
    <x:row r="7" ht="48" customHeight="1">
      <x:c r="A7" s="14" t="str">
        <x:v>EK-02</x:v>
      </x:c>
      <x:c r="B7" s="14" t="str">
        <x:v>Physical inventory, bill of materials and port/cable schedule</x:v>
      </x:c>
      <x:c r="C7" s="14" t="str">
        <x:v>Site + network engineers</x:v>
      </x:c>
      <x:c r="D7" s="22" t="str"/>
      <x:c r="E7" s="14" t="str">
        <x:v>G1</x:v>
      </x:c>
      <x:c r="F7" s="22" t="str">
        <x:v>Not started</x:v>
      </x:c>
      <x:c r="G7" s="14" t="str">
        <x:v>Hardware/optic/firmware/power dependencies, rack and link endpoints, support and staging accepted.</x:v>
      </x:c>
      <x:c r="H7" s="22" t="str"/>
      <x:c r="I7" s="14" t="str">
        <x:v>RA §§3–6</x:v>
      </x:c>
    </x:row>
    <x:row r="8" ht="48" customHeight="1">
      <x:c r="A8" s="14" t="str">
        <x:v>EK-03</x:v>
      </x:c>
      <x:c r="B8" s="14" t="str">
        <x:v>Network, addressing, routes and ZIP paths</x:v>
      </x:c>
      <x:c r="C8" s="14" t="str">
        <x:v>Network + security engineers</x:v>
      </x:c>
      <x:c r="D8" s="22" t="str"/>
      <x:c r="E8" s="14" t="str">
        <x:v>G2</x:v>
      </x:c>
      <x:c r="F8" s="22" t="str">
        <x:v>Not started</x:v>
      </x:c>
      <x:c r="G8" s="14" t="str">
        <x:v>Forward/reply routes, service endpoints, enforcement, MTU and alternate paths recorded per family.</x:v>
      </x:c>
      <x:c r="H8" s="22" t="str"/>
      <x:c r="I8" s="14" t="str">
        <x:v>RA §§5, 8–10; WD §§4–7</x:v>
      </x:c>
    </x:row>
    <x:row r="9" ht="48" customHeight="1">
      <x:c r="A9" s="14" t="str">
        <x:v>EK-04</x:v>
      </x:c>
      <x:c r="B9" s="14" t="str">
        <x:v>Compute, storage and placement schedules</x:v>
      </x:c>
      <x:c r="C9" s="14" t="str">
        <x:v>Platform + storage engineers</x:v>
      </x:c>
      <x:c r="D9" s="22" t="str"/>
      <x:c r="E9" s="14" t="str">
        <x:v>G2</x:v>
      </x:c>
      <x:c r="F9" s="22" t="str">
        <x:v>Not started</x:v>
      </x:c>
      <x:c r="G9" s="14" t="str">
        <x:v>Eligible hosts, native placement, virtual disk/data paths, copies and recovery membership are explicit.</x:v>
      </x:c>
      <x:c r="H9" s="22" t="str"/>
      <x:c r="I9" s="14" t="str">
        <x:v>RA §§7, 11–12</x:v>
      </x:c>
    </x:row>
    <x:row r="10" ht="48" customHeight="1">
      <x:c r="A10" s="14" t="str">
        <x:v>EK-05</x:v>
      </x:c>
      <x:c r="B10" s="14" t="str">
        <x:v>Management, shared-service and trust interfaces</x:v>
      </x:c>
      <x:c r="C10" s="14" t="str">
        <x:v>Service + identity engineers</x:v>
      </x:c>
      <x:c r="D10" s="22" t="str"/>
      <x:c r="E10" s="14" t="str">
        <x:v>G2</x:v>
      </x:c>
      <x:c r="F10" s="22" t="str">
        <x:v>Not started</x:v>
      </x:c>
      <x:c r="G10" s="14" t="str">
        <x:v>Consumption/admin separation, initiating clients, role/key scope and bootstrap/recovery dependencies mapped.</x:v>
      </x:c>
      <x:c r="H10" s="22" t="str"/>
      <x:c r="I10" s="14" t="str">
        <x:v>RA §§6, 9, 13; SVC §§1–5</x:v>
      </x:c>
    </x:row>
    <x:row r="11" ht="48" customHeight="1">
      <x:c r="A11" s="14" t="str">
        <x:v>EK-06</x:v>
      </x:c>
      <x:c r="B11" s="14" t="str">
        <x:v>Capacity, performance, MTU and failure calculations</x:v>
      </x:c>
      <x:c r="C11" s="14" t="str">
        <x:v>Capacity engineer</x:v>
      </x:c>
      <x:c r="D11" s="22" t="str"/>
      <x:c r="E11" s="14" t="str">
        <x:v>G2</x:v>
      </x:c>
      <x:c r="F11" s="22" t="str">
        <x:v>Not started</x:v>
      </x:c>
      <x:c r="G11" s="14" t="str">
        <x:v>Assumptions and measured survivor capacity share units and failure basis; all bottlenecks evaluated.</x:v>
      </x:c>
      <x:c r="H11" s="22" t="str"/>
      <x:c r="I11" s="14" t="str">
        <x:v>QUAL §§3–4; WD §11</x:v>
      </x:c>
    </x:row>
    <x:row r="12" ht="61" customHeight="1">
      <x:c r="A12" s="14" t="str">
        <x:v>EK-07</x:v>
      </x:c>
      <x:c r="B12" s="14" t="str">
        <x:v>Exact stack and operation-level automation coverage</x:v>
      </x:c>
      <x:c r="C12" s="14" t="str">
        <x:v>Platform + automation engineers</x:v>
      </x:c>
      <x:c r="D12" s="22" t="str"/>
      <x:c r="E12" s="14" t="str">
        <x:v>G2</x:v>
      </x:c>
      <x:c r="F12" s="22" t="str">
        <x:v>Not started</x:v>
      </x:c>
      <x:c r="G12" s="14" t="str">
        <x:v>Products, APIs, providers, installers, hardware, entitlements and all lifecycle operations have a support disposition.</x:v>
      </x:c>
      <x:c r="H12" s="22" t="str"/>
      <x:c r="I12" s="14" t="str">
        <x:v>RA §§15–24; VND §7</x:v>
      </x:c>
    </x:row>
    <x:row r="13" ht="48" customHeight="1">
      <x:c r="A13" s="14" t="str">
        <x:v>EK-08</x:v>
      </x:c>
      <x:c r="B13" s="14" t="str">
        <x:v>Build, rollback and qualification design</x:v>
      </x:c>
      <x:c r="C13" s="14" t="str">
        <x:v>Engineering + assurance leads</x:v>
      </x:c>
      <x:c r="D13" s="22" t="str"/>
      <x:c r="E13" s="14" t="str">
        <x:v>G2</x:v>
      </x:c>
      <x:c r="F13" s="22" t="str">
        <x:v>Not started</x:v>
      </x:c>
      <x:c r="G13" s="14" t="str">
        <x:v>Site-specific MOP, rollback/forward repair, test resources and assertion coverage reviewed before execution.</x:v>
      </x:c>
      <x:c r="H13" s="22" t="str"/>
      <x:c r="I13" s="14" t="str">
        <x:v>PROV §§1–6; QUAL §5</x:v>
      </x:c>
    </x:row>
    <x:row r="14" ht="61" customHeight="1">
      <x:c r="A14" s="14" t="str">
        <x:v>EK-09</x:v>
      </x:c>
      <x:c r="B14" s="14" t="str">
        <x:v>Engineering release and implementation handoff</x:v>
      </x:c>
      <x:c r="C14" s="14" t="str">
        <x:v>Engineering release owner</x:v>
      </x:c>
      <x:c r="D14" s="22" t="str"/>
      <x:c r="E14" s="14" t="str">
        <x:v>G1/G2</x:v>
      </x:c>
      <x:c r="F14" s="22" t="str">
        <x:v>Not started</x:v>
      </x:c>
      <x:c r="G14" s="14" t="str">
        <x:v>Versioned design, artifacts, credentials references, evidence plan and unresolved blockers handed over explicitly.</x:v>
      </x:c>
      <x:c r="H14" s="22" t="str"/>
      <x:c r="I14" s="14" t="str">
        <x:v>RA §§25, 30</x:v>
      </x:c>
    </x:row>
  </x:sheetData>
  <x:mergeCells>
    <x:mergeCell ref="A1:I1"/>
    <x:mergeCell ref="A2:I3"/>
  </x:mergeCells>
  <x:conditionalFormatting sqref="F6:F14">
    <x:cfRule type="expression" dxfId="0" priority="1">
      <x:formula>F6="Blocked"</x:formula>
    </x:cfRule>
    <x:cfRule type="expression" dxfId="1" priority="2">
      <x:formula>F6="Failed"</x:formula>
    </x:cfRule>
  </x:conditionalFormatting>
  <x:dataValidations count="1">
    <x:dataValidation type="list" sqref="F6:F14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8478e8091c49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25" hidden="0" customWidth="1"/>
    <x:col min="4" max="4" width="26" hidden="0" customWidth="1"/>
    <x:col min="5" max="5" width="36" hidden="0" customWidth="1"/>
    <x:col min="6" max="6" width="28" hidden="0" customWidth="1"/>
    <x:col min="7" max="7" width="35" hidden="0" customWidth="1"/>
    <x:col min="8" max="8" width="46" hidden="0" customWidth="1"/>
    <x:col min="9" max="9" width="34" hidden="0" customWidth="1"/>
  </x:cols>
  <x:sheetData>
    <x:row r="1" ht="30" customHeight="1">
      <x:c r="A1" s="3" t="str">
        <x:v>Actual site and dependency inventory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ROLE SEEDS ONLY • No devices, host counts, locations, versions or failure independence have been selected.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Role ID</x:v>
      </x:c>
      <x:c r="B5" s="19" t="str">
        <x:v>Infrastructure role</x:v>
      </x:c>
      <x:c r="C5" s="19" t="str">
        <x:v>Owner role</x:v>
      </x:c>
      <x:c r="D5" s="19" t="str">
        <x:v>Actual component ID</x:v>
      </x:c>
      <x:c r="E5" s="19" t="str">
        <x:v>Site / rack / failure group</x:v>
      </x:c>
      <x:c r="F5" s="19" t="str">
        <x:v>Product / version</x:v>
      </x:c>
      <x:c r="G5" s="19" t="str">
        <x:v>Management path</x:v>
      </x:c>
      <x:c r="H5" s="19" t="str">
        <x:v>Power / network / storage dependencies</x:v>
      </x:c>
      <x:c r="I5" s="19" t="str">
        <x:v>Evidence / status</x:v>
      </x:c>
    </x:row>
    <x:row r="6" ht="38" customHeight="1">
      <x:c r="A6" s="14" t="str">
        <x:v>SITE</x:v>
      </x:c>
      <x:c r="B6" s="14" t="str">
        <x:v>Site / facility boundary</x:v>
      </x:c>
      <x:c r="C6" s="14" t="str">
        <x:v>Site authority</x:v>
      </x:c>
      <x:c r="D6" s="22" t="str"/>
      <x:c r="E6" s="22" t="str"/>
      <x:c r="F6" s="22" t="str"/>
      <x:c r="G6" s="22" t="str"/>
      <x:c r="H6" s="22" t="str"/>
      <x:c r="I6" s="22" t="str">
        <x:v>Unresolved</x:v>
      </x:c>
    </x:row>
    <x:row r="7" ht="38" customHeight="1">
      <x:c r="A7" s="14" t="str">
        <x:v>FABRIC</x:v>
      </x:c>
      <x:c r="B7" s="14" t="str">
        <x:v>Leaf/spine or selected transport</x:v>
      </x:c>
      <x:c r="C7" s="14" t="str">
        <x:v>Network owner</x:v>
      </x:c>
      <x:c r="D7" s="22" t="str"/>
      <x:c r="E7" s="22" t="str"/>
      <x:c r="F7" s="22" t="str"/>
      <x:c r="G7" s="22" t="str"/>
      <x:c r="H7" s="22" t="str"/>
      <x:c r="I7" s="22" t="str">
        <x:v>Unresolved</x:v>
      </x:c>
    </x:row>
    <x:row r="8" ht="38" customHeight="1">
      <x:c r="A8" s="14" t="str">
        <x:v>OOB</x:v>
      </x:c>
      <x:c r="B8" s="14" t="str">
        <x:v>Independent recovery access</x:v>
      </x:c>
      <x:c r="C8" s="14" t="str">
        <x:v>Management owner</x:v>
      </x:c>
      <x:c r="D8" s="22" t="str"/>
      <x:c r="E8" s="22" t="str"/>
      <x:c r="F8" s="22" t="str"/>
      <x:c r="G8" s="22" t="str"/>
      <x:c r="H8" s="22" t="str"/>
      <x:c r="I8" s="22" t="str">
        <x:v>Unresolved</x:v>
      </x:c>
    </x:row>
    <x:row r="9" ht="38" customHeight="1">
      <x:c r="A9" s="14" t="str">
        <x:v>MGMT</x:v>
      </x:c>
      <x:c r="B9" s="14" t="str">
        <x:v>Protected management capacity</x:v>
      </x:c>
      <x:c r="C9" s="14" t="str">
        <x:v>Platform/identity</x:v>
      </x:c>
      <x:c r="D9" s="22" t="str"/>
      <x:c r="E9" s="22" t="str"/>
      <x:c r="F9" s="22" t="str"/>
      <x:c r="G9" s="22" t="str"/>
      <x:c r="H9" s="22" t="str"/>
      <x:c r="I9" s="22" t="str">
        <x:v>Unresolved</x:v>
      </x:c>
    </x:row>
    <x:row r="10" ht="38" customHeight="1">
      <x:c r="A10" s="14" t="str">
        <x:v>HOST-O</x:v>
      </x:c>
      <x:c r="B10" s="14" t="str">
        <x:v>Eligible OZ pool</x:v>
      </x:c>
      <x:c r="C10" s="14" t="str">
        <x:v>Platform owner</x:v>
      </x:c>
      <x:c r="D10" s="22" t="str"/>
      <x:c r="E10" s="22" t="str"/>
      <x:c r="F10" s="22" t="str"/>
      <x:c r="G10" s="22" t="str"/>
      <x:c r="H10" s="22" t="str"/>
      <x:c r="I10" s="22" t="str">
        <x:v>Unresolved</x:v>
      </x:c>
    </x:row>
    <x:row r="11" ht="38" customHeight="1">
      <x:c r="A11" s="14" t="str">
        <x:v>HOST-R</x:v>
      </x:c>
      <x:c r="B11" s="14" t="str">
        <x:v>Eligible RZ pool</x:v>
      </x:c>
      <x:c r="C11" s="14" t="str">
        <x:v>Platform owner</x:v>
      </x:c>
      <x:c r="D11" s="22" t="str"/>
      <x:c r="E11" s="22" t="str"/>
      <x:c r="F11" s="22" t="str"/>
      <x:c r="G11" s="22" t="str"/>
      <x:c r="H11" s="22" t="str"/>
      <x:c r="I11" s="22" t="str">
        <x:v>Unresolved</x:v>
      </x:c>
    </x:row>
    <x:row r="12" ht="38" customHeight="1">
      <x:c r="A12" s="14" t="str">
        <x:v>STORAGE</x:v>
      </x:c>
      <x:c r="B12" s="14" t="str">
        <x:v>Backend and controller boundary</x:v>
      </x:c>
      <x:c r="C12" s="14" t="str">
        <x:v>Storage owner</x:v>
      </x:c>
      <x:c r="D12" s="22" t="str"/>
      <x:c r="E12" s="22" t="str"/>
      <x:c r="F12" s="22" t="str"/>
      <x:c r="G12" s="22" t="str"/>
      <x:c r="H12" s="22" t="str"/>
      <x:c r="I12" s="22" t="str">
        <x:v>Unresolved</x:v>
      </x:c>
    </x:row>
    <x:row r="13" ht="38" customHeight="1">
      <x:c r="A13" s="14" t="str">
        <x:v>EDGE</x:v>
      </x:c>
      <x:c r="B13" s="14" t="str">
        <x:v>Tenant/domain enforcement</x:v>
      </x:c>
      <x:c r="C13" s="14" t="str">
        <x:v>Security-edge owner</x:v>
      </x:c>
      <x:c r="D13" s="22" t="str"/>
      <x:c r="E13" s="22" t="str"/>
      <x:c r="F13" s="22" t="str"/>
      <x:c r="G13" s="22" t="str"/>
      <x:c r="H13" s="22" t="str"/>
      <x:c r="I13" s="22" t="str">
        <x:v>Unresolved</x:v>
      </x:c>
    </x:row>
    <x:row r="14" ht="38" customHeight="1">
      <x:c r="A14" s="14" t="str">
        <x:v>SERVICE-EDGE</x:v>
      </x:c>
      <x:c r="B14" s="14" t="str">
        <x:v>Service handoff enforcement</x:v>
      </x:c>
      <x:c r="C14" s="14" t="str">
        <x:v>Service security owner</x:v>
      </x:c>
      <x:c r="D14" s="22" t="str"/>
      <x:c r="E14" s="22" t="str"/>
      <x:c r="F14" s="22" t="str"/>
      <x:c r="G14" s="22" t="str"/>
      <x:c r="H14" s="22" t="str"/>
      <x:c r="I14" s="22" t="str">
        <x:v>Unresolved</x:v>
      </x:c>
    </x:row>
    <x:row r="15" ht="38" customHeight="1">
      <x:c r="A15" s="14" t="str">
        <x:v>DNS-TIME</x:v>
      </x:c>
      <x:c r="B15" s="14" t="str">
        <x:v>Approved resolver/time</x:v>
      </x:c>
      <x:c r="C15" s="14" t="str">
        <x:v>Network services</x:v>
      </x:c>
      <x:c r="D15" s="22" t="str"/>
      <x:c r="E15" s="22" t="str"/>
      <x:c r="F15" s="22" t="str"/>
      <x:c r="G15" s="22" t="str"/>
      <x:c r="H15" s="22" t="str"/>
      <x:c r="I15" s="22" t="str">
        <x:v>Unresolved</x:v>
      </x:c>
    </x:row>
    <x:row r="16" ht="38" customHeight="1">
      <x:c r="A16" s="14" t="str">
        <x:v>TRUST</x:v>
      </x:c>
      <x:c r="B16" s="14" t="str">
        <x:v>Identity/PKI/KMS</x:v>
      </x:c>
      <x:c r="C16" s="14" t="str">
        <x:v>Trust custodians</x:v>
      </x:c>
      <x:c r="D16" s="22" t="str"/>
      <x:c r="E16" s="22" t="str"/>
      <x:c r="F16" s="22" t="str"/>
      <x:c r="G16" s="22" t="str"/>
      <x:c r="H16" s="22" t="str"/>
      <x:c r="I16" s="22" t="str">
        <x:v>Unresolved</x:v>
      </x:c>
    </x:row>
    <x:row r="17" ht="38" customHeight="1">
      <x:c r="A17" s="14" t="str">
        <x:v>PROTECTION</x:v>
      </x:c>
      <x:c r="B17" s="14" t="str">
        <x:v>Backup/catalogue/repository</x:v>
      </x:c>
      <x:c r="C17" s="14" t="str">
        <x:v>Backup owner</x:v>
      </x:c>
      <x:c r="D17" s="22" t="str"/>
      <x:c r="E17" s="22" t="str"/>
      <x:c r="F17" s="22" t="str"/>
      <x:c r="G17" s="22" t="str"/>
      <x:c r="H17" s="22" t="str"/>
      <x:c r="I17" s="22" t="str">
        <x:v>Unresolved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5ec908322cc94d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34" hidden="0" customWidth="1"/>
    <x:col min="4" max="4" width="12" hidden="0" customWidth="1"/>
    <x:col min="5" max="5" width="12" hidden="0" customWidth="1"/>
    <x:col min="6" max="6" width="26" hidden="0" customWidth="1"/>
    <x:col min="7" max="7" width="42" hidden="0" customWidth="1"/>
    <x:col min="8" max="8" width="32" hidden="0" customWidth="1"/>
    <x:col min="9" max="9" width="30" hidden="0" customWidth="1"/>
    <x:col min="10" max="10" width="30" hidden="0" customWidth="1"/>
  </x:cols>
  <x:sheetData>
    <x:row r="1" ht="30" customHeight="1">
      <x:c r="A1" s="3" t="str">
        <x:v>Bill of materials and support acceptance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Enter actual supported items and quantities. No example model or cost is a procurement recommendation.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Line</x:v>
      </x:c>
      <x:c r="B5" s="19" t="str">
        <x:v>Role / required outcome</x:v>
      </x:c>
      <x:c r="C5" s="19" t="str">
        <x:v>Selected manufacturer / model</x:v>
      </x:c>
      <x:c r="D5" s="19" t="str">
        <x:v>Quantity</x:v>
      </x:c>
      <x:c r="E5" s="19" t="str">
        <x:v>Unit</x:v>
      </x:c>
      <x:c r="F5" s="19" t="str">
        <x:v>Firmware / driver</x:v>
      </x:c>
      <x:c r="G5" s="19" t="str">
        <x:v>Compatibility evidence</x:v>
      </x:c>
      <x:c r="H5" s="19" t="str">
        <x:v>Support / entitlement expiry</x:v>
      </x:c>
      <x:c r="I5" s="19" t="str">
        <x:v>Delivery / custody</x:v>
      </x:c>
      <x:c r="J5" s="19" t="str">
        <x:v>Owner / approval</x:v>
      </x:c>
    </x:row>
    <x:row r="6" ht="38" customHeight="1">
      <x:c r="A6" s="14" t="str">
        <x:v>BOM-01</x:v>
      </x:c>
      <x:c r="B6" s="14" t="str">
        <x:v>Site / facility boundary</x:v>
      </x:c>
      <x:c r="C6" s="22" t="str"/>
      <x:c r="D6" s="22"/>
      <x:c r="E6" s="22" t="str"/>
      <x:c r="F6" s="22" t="str"/>
      <x:c r="G6" s="22" t="str"/>
      <x:c r="H6" s="22" t="str"/>
      <x:c r="I6" s="22" t="str"/>
      <x:c r="J6" s="22" t="str"/>
    </x:row>
    <x:row r="7" ht="38" customHeight="1">
      <x:c r="A7" s="14" t="str">
        <x:v>BOM-02</x:v>
      </x:c>
      <x:c r="B7" s="14" t="str">
        <x:v>Leaf/spine or selected transport</x:v>
      </x:c>
      <x:c r="C7" s="22" t="str"/>
      <x:c r="D7" s="22"/>
      <x:c r="E7" s="22" t="str"/>
      <x:c r="F7" s="22" t="str"/>
      <x:c r="G7" s="22" t="str"/>
      <x:c r="H7" s="22" t="str"/>
      <x:c r="I7" s="22" t="str"/>
      <x:c r="J7" s="22" t="str"/>
    </x:row>
    <x:row r="8" ht="38" customHeight="1">
      <x:c r="A8" s="14" t="str">
        <x:v>BOM-03</x:v>
      </x:c>
      <x:c r="B8" s="14" t="str">
        <x:v>Independent recovery access</x:v>
      </x:c>
      <x:c r="C8" s="22" t="str"/>
      <x:c r="D8" s="22"/>
      <x:c r="E8" s="22" t="str"/>
      <x:c r="F8" s="22" t="str"/>
      <x:c r="G8" s="22" t="str"/>
      <x:c r="H8" s="22" t="str"/>
      <x:c r="I8" s="22" t="str"/>
      <x:c r="J8" s="22" t="str"/>
    </x:row>
    <x:row r="9" ht="38" customHeight="1">
      <x:c r="A9" s="14" t="str">
        <x:v>BOM-04</x:v>
      </x:c>
      <x:c r="B9" s="14" t="str">
        <x:v>Protected management capacity</x:v>
      </x:c>
      <x:c r="C9" s="22" t="str"/>
      <x:c r="D9" s="22"/>
      <x:c r="E9" s="22" t="str"/>
      <x:c r="F9" s="22" t="str"/>
      <x:c r="G9" s="22" t="str"/>
      <x:c r="H9" s="22" t="str"/>
      <x:c r="I9" s="22" t="str"/>
      <x:c r="J9" s="22" t="str"/>
    </x:row>
    <x:row r="10" ht="38" customHeight="1">
      <x:c r="A10" s="14" t="str">
        <x:v>BOM-05</x:v>
      </x:c>
      <x:c r="B10" s="14" t="str">
        <x:v>Eligible OZ pool</x:v>
      </x:c>
      <x:c r="C10" s="22" t="str"/>
      <x:c r="D10" s="22"/>
      <x:c r="E10" s="22" t="str"/>
      <x:c r="F10" s="22" t="str"/>
      <x:c r="G10" s="22" t="str"/>
      <x:c r="H10" s="22" t="str"/>
      <x:c r="I10" s="22" t="str"/>
      <x:c r="J10" s="22" t="str"/>
    </x:row>
    <x:row r="11" ht="38" customHeight="1">
      <x:c r="A11" s="14" t="str">
        <x:v>BOM-06</x:v>
      </x:c>
      <x:c r="B11" s="14" t="str">
        <x:v>Eligible RZ pool</x:v>
      </x:c>
      <x:c r="C11" s="22" t="str"/>
      <x:c r="D11" s="22"/>
      <x:c r="E11" s="22" t="str"/>
      <x:c r="F11" s="22" t="str"/>
      <x:c r="G11" s="22" t="str"/>
      <x:c r="H11" s="22" t="str"/>
      <x:c r="I11" s="22" t="str"/>
      <x:c r="J11" s="22" t="str"/>
    </x:row>
    <x:row r="12" ht="38" customHeight="1">
      <x:c r="A12" s="14" t="str">
        <x:v>BOM-07</x:v>
      </x:c>
      <x:c r="B12" s="14" t="str">
        <x:v>Backend and controller boundary</x:v>
      </x:c>
      <x:c r="C12" s="22" t="str"/>
      <x:c r="D12" s="22"/>
      <x:c r="E12" s="22" t="str"/>
      <x:c r="F12" s="22" t="str"/>
      <x:c r="G12" s="22" t="str"/>
      <x:c r="H12" s="22" t="str"/>
      <x:c r="I12" s="22" t="str"/>
      <x:c r="J12" s="22" t="str"/>
    </x:row>
    <x:row r="13" ht="38" customHeight="1">
      <x:c r="A13" s="14" t="str">
        <x:v>BOM-08</x:v>
      </x:c>
      <x:c r="B13" s="14" t="str">
        <x:v>Tenant/domain enforcement</x:v>
      </x:c>
      <x:c r="C13" s="22" t="str"/>
      <x:c r="D13" s="22"/>
      <x:c r="E13" s="22" t="str"/>
      <x:c r="F13" s="22" t="str"/>
      <x:c r="G13" s="22" t="str"/>
      <x:c r="H13" s="22" t="str"/>
      <x:c r="I13" s="22" t="str"/>
      <x:c r="J13" s="22" t="str"/>
    </x:row>
    <x:row r="14" ht="38" customHeight="1">
      <x:c r="A14" s="14" t="str">
        <x:v>BOM-09</x:v>
      </x:c>
      <x:c r="B14" s="14" t="str">
        <x:v>Service handoff enforcement</x:v>
      </x:c>
      <x:c r="C14" s="22" t="str"/>
      <x:c r="D14" s="22"/>
      <x:c r="E14" s="22" t="str"/>
      <x:c r="F14" s="22" t="str"/>
      <x:c r="G14" s="22" t="str"/>
      <x:c r="H14" s="22" t="str"/>
      <x:c r="I14" s="22" t="str"/>
      <x:c r="J14" s="22" t="str"/>
    </x:row>
    <x:row r="15" ht="38" customHeight="1">
      <x:c r="A15" s="14" t="str">
        <x:v>BOM-10</x:v>
      </x:c>
      <x:c r="B15" s="14" t="str">
        <x:v>Approved resolver/time</x:v>
      </x:c>
      <x:c r="C15" s="22" t="str"/>
      <x:c r="D15" s="22"/>
      <x:c r="E15" s="22" t="str"/>
      <x:c r="F15" s="22" t="str"/>
      <x:c r="G15" s="22" t="str"/>
      <x:c r="H15" s="22" t="str"/>
      <x:c r="I15" s="22" t="str"/>
      <x:c r="J15" s="22" t="str"/>
    </x:row>
    <x:row r="16" ht="38" customHeight="1">
      <x:c r="A16" s="14" t="str">
        <x:v>BOM-11</x:v>
      </x:c>
      <x:c r="B16" s="14" t="str">
        <x:v>Identity/PKI/KMS</x:v>
      </x:c>
      <x:c r="C16" s="22" t="str"/>
      <x:c r="D16" s="22"/>
      <x:c r="E16" s="22" t="str"/>
      <x:c r="F16" s="22" t="str"/>
      <x:c r="G16" s="22" t="str"/>
      <x:c r="H16" s="22" t="str"/>
      <x:c r="I16" s="22" t="str"/>
      <x:c r="J16" s="22" t="str"/>
    </x:row>
    <x:row r="17" ht="38" customHeight="1">
      <x:c r="A17" s="14" t="str">
        <x:v>BOM-12</x:v>
      </x:c>
      <x:c r="B17" s="14" t="str">
        <x:v>Backup/catalogue/repository</x:v>
      </x:c>
      <x:c r="C17" s="22" t="str"/>
      <x:c r="D17" s="22"/>
      <x:c r="E17" s="22" t="str"/>
      <x:c r="F17" s="22" t="str"/>
      <x:c r="G17" s="22" t="str"/>
      <x:c r="H17" s="22" t="str"/>
      <x:c r="I17" s="22" t="str"/>
      <x:c r="J17" s="22" t="str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a5ff77b678ad47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30" hidden="0" customWidth="1"/>
    <x:col min="5" max="5" width="30" hidden="0" customWidth="1"/>
    <x:col min="6" max="6" width="30" hidden="0" customWidth="1"/>
    <x:col min="7" max="7" width="31" hidden="0" customWidth="1"/>
    <x:col min="8" max="8" width="35" hidden="0" customWidth="1"/>
    <x:col min="9" max="9" width="32" hidden="0" customWidth="1"/>
    <x:col min="10" max="10" width="24" hidden="0" customWidth="1"/>
  </x:cols>
  <x:sheetData>
    <x:row r="1" ht="30" customHeight="1">
      <x:c r="A1" s="3" t="str">
        <x:v>Physical port, optic and cable schedule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Qualified personnel perform physical work using approved facility/manufacturer procedures. Record actual endpoints and independent failure groups.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Link ID</x:v>
      </x:c>
      <x:c r="B5" s="19" t="str">
        <x:v>A device / port</x:v>
      </x:c>
      <x:c r="C5" s="19" t="str">
        <x:v>B device / port</x:v>
      </x:c>
      <x:c r="D5" s="19" t="str">
        <x:v>Role / tenant scope</x:v>
      </x:c>
      <x:c r="E5" s="19" t="str">
        <x:v>Media / optics / speed</x:v>
      </x:c>
      <x:c r="F5" s="19" t="str">
        <x:v>MTU definition / value</x:v>
      </x:c>
      <x:c r="G5" s="19" t="str">
        <x:v>Teaming / multihoming</x:v>
      </x:c>
      <x:c r="H5" s="19" t="str">
        <x:v>Rack / power dependency</x:v>
      </x:c>
      <x:c r="I5" s="19" t="str">
        <x:v>Installation receipt</x:v>
      </x:c>
      <x:c r="J5" s="19" t="str">
        <x:v>Owner</x:v>
      </x:c>
    </x:row>
    <x:row r="6" ht="38" customHeight="1">
      <x:c r="A6" s="14" t="str">
        <x:v>LINK-01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 ht="38" customHeight="1">
      <x:c r="A7" s="14" t="str">
        <x:v>LINK-02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 ht="38" customHeight="1">
      <x:c r="A8" s="14" t="str">
        <x:v>LINK-03</x:v>
      </x:c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 ht="38" customHeight="1">
      <x:c r="A9" s="14" t="str">
        <x:v>LINK-04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 ht="38" customHeight="1">
      <x:c r="A10" s="14" t="str">
        <x:v>LINK-05</x:v>
      </x:c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 ht="38" customHeight="1">
      <x:c r="A11" s="14" t="str">
        <x:v>LINK-06</x:v>
      </x:c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 ht="38" customHeight="1">
      <x:c r="A12" s="14" t="str">
        <x:v>LINK-07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 ht="38" customHeight="1">
      <x:c r="A13" s="14" t="str">
        <x:v>LINK-08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 ht="38" customHeight="1">
      <x:c r="A14" s="14" t="str">
        <x:v>LINK-09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 ht="38" customHeight="1">
      <x:c r="A15" s="14" t="str">
        <x:v>LINK-10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</x:row>
    <x:row r="16" ht="38" customHeight="1">
      <x:c r="A16" s="14" t="str">
        <x:v>LINK-11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</x:row>
    <x:row r="17" ht="38" customHeight="1">
      <x:c r="A17" s="14" t="str">
        <x:v>LINK-12</x:v>
      </x:c>
      <x:c r="B17" s="22" t="str"/>
      <x:c r="C17" s="22" t="str"/>
      <x:c r="D17" s="22" t="str"/>
      <x:c r="E17" s="22" t="str"/>
      <x:c r="F17" s="22" t="str"/>
      <x:c r="G17" s="22" t="str"/>
      <x:c r="H17" s="22" t="str"/>
      <x:c r="I17" s="22" t="str"/>
      <x:c r="J17" s="22" t="str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85d3763cdbb147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7" hidden="0" customWidth="1"/>
    <x:col min="4" max="4" width="20" hidden="0" customWidth="1"/>
    <x:col min="5" max="5" width="38" hidden="0" customWidth="1"/>
    <x:col min="6" max="6" width="33" hidden="0" customWidth="1"/>
    <x:col min="7" max="7" width="34" hidden="0" customWidth="1"/>
    <x:col min="8" max="8" width="38" hidden="0" customWidth="1"/>
    <x:col min="9" max="9" width="25" hidden="0" customWidth="1"/>
    <x:col min="10" max="10" width="35" hidden="0" customWidth="1"/>
  </x:cols>
  <x:sheetData>
    <x:row r="1" ht="30" customHeight="1">
      <x:c r="A1" s="3" t="str">
        <x:v>Actual addressing and network ownership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Do not copy EX_ documentation ranges here. IPv4-only, IPv6-only and dual-stack need independently supported complete paths.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Network ID</x:v>
      </x:c>
      <x:c r="B5" s="19" t="str">
        <x:v>Domain / tenant / zone</x:v>
      </x:c>
      <x:c r="C5" s="19" t="str">
        <x:v>Site / platform</x:v>
      </x:c>
      <x:c r="D5" s="19" t="str">
        <x:v>Address-family mode</x:v>
      </x:c>
      <x:c r="E5" s="19" t="str">
        <x:v>Actual prefix / allocation</x:v>
      </x:c>
      <x:c r="F5" s="19" t="str">
        <x:v>Gateway / owner</x:v>
      </x:c>
      <x:c r="G5" s="19" t="str">
        <x:v>DHCP / RA / DNS</x:v>
      </x:c>
      <x:c r="H5" s="19" t="str">
        <x:v>VLAN / VNI / RT authority</x:v>
      </x:c>
      <x:c r="I5" s="19" t="str">
        <x:v>Handoff / ZIP</x:v>
      </x:c>
      <x:c r="J5" s="19" t="str">
        <x:v>Decision / evidence</x:v>
      </x:c>
    </x:row>
    <x:row r="6" ht="38" customHeight="1">
      <x:c r="A6" s="14" t="str">
        <x:v>NET-01</x:v>
      </x:c>
      <x:c r="B6" s="22" t="str"/>
      <x:c r="C6" s="22" t="str"/>
      <x:c r="D6" s="22" t="str">
        <x:v>Unresolved</x:v>
      </x:c>
      <x:c r="E6" s="22" t="str"/>
      <x:c r="F6" s="22" t="str"/>
      <x:c r="G6" s="22" t="str"/>
      <x:c r="H6" s="22" t="str"/>
      <x:c r="I6" s="22" t="str"/>
      <x:c r="J6" s="22" t="str"/>
    </x:row>
    <x:row r="7" ht="38" customHeight="1">
      <x:c r="A7" s="14" t="str">
        <x:v>NET-02</x:v>
      </x:c>
      <x:c r="B7" s="22" t="str"/>
      <x:c r="C7" s="22" t="str"/>
      <x:c r="D7" s="22" t="str">
        <x:v>Unresolved</x:v>
      </x:c>
      <x:c r="E7" s="22" t="str"/>
      <x:c r="F7" s="22" t="str"/>
      <x:c r="G7" s="22" t="str"/>
      <x:c r="H7" s="22" t="str"/>
      <x:c r="I7" s="22" t="str"/>
      <x:c r="J7" s="22" t="str"/>
    </x:row>
    <x:row r="8" ht="38" customHeight="1">
      <x:c r="A8" s="14" t="str">
        <x:v>NET-03</x:v>
      </x:c>
      <x:c r="B8" s="22" t="str"/>
      <x:c r="C8" s="22" t="str"/>
      <x:c r="D8" s="22" t="str">
        <x:v>Unresolved</x:v>
      </x:c>
      <x:c r="E8" s="22" t="str"/>
      <x:c r="F8" s="22" t="str"/>
      <x:c r="G8" s="22" t="str"/>
      <x:c r="H8" s="22" t="str"/>
      <x:c r="I8" s="22" t="str"/>
      <x:c r="J8" s="22" t="str"/>
    </x:row>
    <x:row r="9" ht="38" customHeight="1">
      <x:c r="A9" s="14" t="str">
        <x:v>NET-04</x:v>
      </x:c>
      <x:c r="B9" s="22" t="str"/>
      <x:c r="C9" s="22" t="str"/>
      <x:c r="D9" s="22" t="str">
        <x:v>Unresolved</x:v>
      </x:c>
      <x:c r="E9" s="22" t="str"/>
      <x:c r="F9" s="22" t="str"/>
      <x:c r="G9" s="22" t="str"/>
      <x:c r="H9" s="22" t="str"/>
      <x:c r="I9" s="22" t="str"/>
      <x:c r="J9" s="22" t="str"/>
    </x:row>
    <x:row r="10" ht="38" customHeight="1">
      <x:c r="A10" s="14" t="str">
        <x:v>NET-05</x:v>
      </x:c>
      <x:c r="B10" s="22" t="str"/>
      <x:c r="C10" s="22" t="str"/>
      <x:c r="D10" s="22" t="str">
        <x:v>Unresolved</x:v>
      </x:c>
      <x:c r="E10" s="22" t="str"/>
      <x:c r="F10" s="22" t="str"/>
      <x:c r="G10" s="22" t="str"/>
      <x:c r="H10" s="22" t="str"/>
      <x:c r="I10" s="22" t="str"/>
      <x:c r="J10" s="22" t="str"/>
    </x:row>
    <x:row r="11" ht="38" customHeight="1">
      <x:c r="A11" s="14" t="str">
        <x:v>NET-06</x:v>
      </x:c>
      <x:c r="B11" s="22" t="str"/>
      <x:c r="C11" s="22" t="str"/>
      <x:c r="D11" s="22" t="str">
        <x:v>Unresolved</x:v>
      </x:c>
      <x:c r="E11" s="22" t="str"/>
      <x:c r="F11" s="22" t="str"/>
      <x:c r="G11" s="22" t="str"/>
      <x:c r="H11" s="22" t="str"/>
      <x:c r="I11" s="22" t="str"/>
      <x:c r="J11" s="22" t="str"/>
    </x:row>
    <x:row r="12" ht="38" customHeight="1">
      <x:c r="A12" s="14" t="str">
        <x:v>NET-07</x:v>
      </x:c>
      <x:c r="B12" s="22" t="str"/>
      <x:c r="C12" s="22" t="str"/>
      <x:c r="D12" s="22" t="str">
        <x:v>Unresolved</x:v>
      </x:c>
      <x:c r="E12" s="22" t="str"/>
      <x:c r="F12" s="22" t="str"/>
      <x:c r="G12" s="22" t="str"/>
      <x:c r="H12" s="22" t="str"/>
      <x:c r="I12" s="22" t="str"/>
      <x:c r="J12" s="22" t="str"/>
    </x:row>
    <x:row r="13" ht="38" customHeight="1">
      <x:c r="A13" s="14" t="str">
        <x:v>NET-08</x:v>
      </x:c>
      <x:c r="B13" s="22" t="str"/>
      <x:c r="C13" s="22" t="str"/>
      <x:c r="D13" s="22" t="str">
        <x:v>Unresolved</x:v>
      </x:c>
      <x:c r="E13" s="22" t="str"/>
      <x:c r="F13" s="22" t="str"/>
      <x:c r="G13" s="22" t="str"/>
      <x:c r="H13" s="22" t="str"/>
      <x:c r="I13" s="22" t="str"/>
      <x:c r="J13" s="22" t="str"/>
    </x:row>
    <x:row r="14" ht="38" customHeight="1">
      <x:c r="A14" s="14" t="str">
        <x:v>NET-09</x:v>
      </x:c>
      <x:c r="B14" s="22" t="str"/>
      <x:c r="C14" s="22" t="str"/>
      <x:c r="D14" s="22" t="str">
        <x:v>Unresolved</x:v>
      </x:c>
      <x:c r="E14" s="22" t="str"/>
      <x:c r="F14" s="22" t="str"/>
      <x:c r="G14" s="22" t="str"/>
      <x:c r="H14" s="22" t="str"/>
      <x:c r="I14" s="22" t="str"/>
      <x:c r="J14" s="22" t="str"/>
    </x:row>
    <x:row r="15" ht="38" customHeight="1">
      <x:c r="A15" s="14" t="str">
        <x:v>NET-10</x:v>
      </x:c>
      <x:c r="B15" s="22" t="str"/>
      <x:c r="C15" s="22" t="str"/>
      <x:c r="D15" s="22" t="str">
        <x:v>Unresolved</x:v>
      </x:c>
      <x:c r="E15" s="22" t="str"/>
      <x:c r="F15" s="22" t="str"/>
      <x:c r="G15" s="22" t="str"/>
      <x:c r="H15" s="22" t="str"/>
      <x:c r="I15" s="22" t="str"/>
      <x:c r="J15" s="22" t="str"/>
    </x:row>
    <x:row r="16" ht="38" customHeight="1">
      <x:c r="A16" s="14" t="str">
        <x:v>NET-11</x:v>
      </x:c>
      <x:c r="B16" s="22" t="str"/>
      <x:c r="C16" s="22" t="str"/>
      <x:c r="D16" s="22" t="str">
        <x:v>Unresolved</x:v>
      </x:c>
      <x:c r="E16" s="22" t="str"/>
      <x:c r="F16" s="22" t="str"/>
      <x:c r="G16" s="22" t="str"/>
      <x:c r="H16" s="22" t="str"/>
      <x:c r="I16" s="22" t="str"/>
      <x:c r="J16" s="22" t="str"/>
    </x:row>
    <x:row r="17" ht="38" customHeight="1">
      <x:c r="A17" s="14" t="str">
        <x:v>NET-12</x:v>
      </x:c>
      <x:c r="B17" s="22" t="str"/>
      <x:c r="C17" s="22" t="str"/>
      <x:c r="D17" s="22" t="str">
        <x:v>Unresolved</x:v>
      </x:c>
      <x:c r="E17" s="22" t="str"/>
      <x:c r="F17" s="22" t="str"/>
      <x:c r="G17" s="22" t="str"/>
      <x:c r="H17" s="22" t="str"/>
      <x:c r="I17" s="22" t="str"/>
      <x:c r="J17" s="22" t="str"/>
    </x:row>
  </x:sheetData>
  <x:mergeCells>
    <x:mergeCell ref="A1:J1"/>
    <x:mergeCell ref="A2:J3"/>
  </x:mergeCells>
  <x:conditionalFormatting sqref="D6:D17">
    <x:cfRule type="expression" dxfId="2" priority="1">
      <x:formula>D6="Blocked"</x:formula>
    </x:cfRule>
    <x:cfRule type="expression" dxfId="3" priority="2">
      <x:formula>D6="Failed"</x:formula>
    </x:cfRule>
  </x:conditionalFormatting>
  <x:dataValidations count="1">
    <x:dataValidation type="list" sqref="D6:D17">
      <x:formula1>"Unresolved,IPv4-only,IPv6-only,Dual-stack"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23f1aee5b64a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6" hidden="0" customWidth="1"/>
    <x:col min="4" max="4" width="37" hidden="0" customWidth="1"/>
    <x:col min="5" max="5" width="33" hidden="0" customWidth="1"/>
    <x:col min="6" max="6" width="27" hidden="0" customWidth="1"/>
    <x:col min="7" max="7" width="38" hidden="0" customWidth="1"/>
    <x:col min="8" max="8" width="37" hidden="0" customWidth="1"/>
    <x:col min="9" max="9" width="33" hidden="0" customWidth="1"/>
    <x:col min="10" max="10" width="38" hidden="0" customWidth="1"/>
    <x:col min="11" max="11" width="32" hidden="0" customWidth="1"/>
  </x:cols>
  <x:sheetData>
    <x:row r="1" ht="30" customHeight="1">
      <x:c r="A1" s="3" t="str">
        <x:v>Actual forwarding and return-route design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8" t="str">
        <x:v>Routes do not grant application permission. Include connected/distributed/default paths, source validation and stateful return ownership.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9" t="str">
        <x:v>Route ID</x:v>
      </x:c>
      <x:c r="B5" s="19" t="str">
        <x:v>Routing owner / context</x:v>
      </x:c>
      <x:c r="C5" s="19" t="str">
        <x:v>Family</x:v>
      </x:c>
      <x:c r="D5" s="19" t="str">
        <x:v>Destination / allowed set</x:v>
      </x:c>
      <x:c r="E5" s="19" t="str">
        <x:v>Next hop / interface</x:v>
      </x:c>
      <x:c r="F5" s="19" t="str">
        <x:v>Next component</x:v>
      </x:c>
      <x:c r="G5" s="19" t="str">
        <x:v>Source / import restrictions</x:v>
      </x:c>
      <x:c r="H5" s="19" t="str">
        <x:v>Return route / owner</x:v>
      </x:c>
      <x:c r="I5" s="19" t="str">
        <x:v>Enforcement / policy</x:v>
      </x:c>
      <x:c r="J5" s="19" t="str">
        <x:v>Failure behaviour</x:v>
      </x:c>
      <x:c r="K5" s="19" t="str">
        <x:v>Evidence</x:v>
      </x:c>
    </x:row>
    <x:row r="6" ht="38" customHeight="1">
      <x:c r="A6" s="14" t="str">
        <x:v>RTE-01</x:v>
      </x:c>
      <x:c r="B6" s="22" t="str"/>
      <x:c r="C6" s="22" t="str">
        <x:v>Unresolved</x:v>
      </x:c>
      <x:c r="D6" s="22" t="str"/>
      <x:c r="E6" s="22" t="str"/>
      <x:c r="F6" s="22" t="str"/>
      <x:c r="G6" s="22" t="str"/>
      <x:c r="H6" s="22" t="str"/>
      <x:c r="I6" s="22" t="str"/>
      <x:c r="J6" s="22" t="str"/>
      <x:c r="K6" s="22" t="str"/>
    </x:row>
    <x:row r="7" ht="38" customHeight="1">
      <x:c r="A7" s="14" t="str">
        <x:v>RTE-02</x:v>
      </x:c>
      <x:c r="B7" s="22" t="str"/>
      <x:c r="C7" s="22" t="str">
        <x:v>Unresolved</x:v>
      </x:c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</x:row>
    <x:row r="8" ht="38" customHeight="1">
      <x:c r="A8" s="14" t="str">
        <x:v>RTE-03</x:v>
      </x:c>
      <x:c r="B8" s="22" t="str"/>
      <x:c r="C8" s="22" t="str">
        <x:v>Unresolved</x:v>
      </x:c>
      <x:c r="D8" s="22" t="str"/>
      <x:c r="E8" s="22" t="str"/>
      <x:c r="F8" s="22" t="str"/>
      <x:c r="G8" s="22" t="str"/>
      <x:c r="H8" s="22" t="str"/>
      <x:c r="I8" s="22" t="str"/>
      <x:c r="J8" s="22" t="str"/>
      <x:c r="K8" s="22" t="str"/>
    </x:row>
    <x:row r="9" ht="38" customHeight="1">
      <x:c r="A9" s="14" t="str">
        <x:v>RTE-04</x:v>
      </x:c>
      <x:c r="B9" s="22" t="str"/>
      <x:c r="C9" s="22" t="str">
        <x:v>Unresolved</x:v>
      </x:c>
      <x:c r="D9" s="22" t="str"/>
      <x:c r="E9" s="22" t="str"/>
      <x:c r="F9" s="22" t="str"/>
      <x:c r="G9" s="22" t="str"/>
      <x:c r="H9" s="22" t="str"/>
      <x:c r="I9" s="22" t="str"/>
      <x:c r="J9" s="22" t="str"/>
      <x:c r="K9" s="22" t="str"/>
    </x:row>
    <x:row r="10" ht="38" customHeight="1">
      <x:c r="A10" s="14" t="str">
        <x:v>RTE-05</x:v>
      </x:c>
      <x:c r="B10" s="22" t="str"/>
      <x:c r="C10" s="22" t="str">
        <x:v>Unresolved</x:v>
      </x:c>
      <x:c r="D10" s="22" t="str"/>
      <x:c r="E10" s="22" t="str"/>
      <x:c r="F10" s="22" t="str"/>
      <x:c r="G10" s="22" t="str"/>
      <x:c r="H10" s="22" t="str"/>
      <x:c r="I10" s="22" t="str"/>
      <x:c r="J10" s="22" t="str"/>
      <x:c r="K10" s="22" t="str"/>
    </x:row>
    <x:row r="11" ht="38" customHeight="1">
      <x:c r="A11" s="14" t="str">
        <x:v>RTE-06</x:v>
      </x:c>
      <x:c r="B11" s="22" t="str"/>
      <x:c r="C11" s="22" t="str">
        <x:v>Unresolved</x:v>
      </x:c>
      <x:c r="D11" s="22" t="str"/>
      <x:c r="E11" s="22" t="str"/>
      <x:c r="F11" s="22" t="str"/>
      <x:c r="G11" s="22" t="str"/>
      <x:c r="H11" s="22" t="str"/>
      <x:c r="I11" s="22" t="str"/>
      <x:c r="J11" s="22" t="str"/>
      <x:c r="K11" s="22" t="str"/>
    </x:row>
    <x:row r="12" ht="38" customHeight="1">
      <x:c r="A12" s="14" t="str">
        <x:v>RTE-07</x:v>
      </x:c>
      <x:c r="B12" s="22" t="str"/>
      <x:c r="C12" s="22" t="str">
        <x:v>Unresolved</x:v>
      </x:c>
      <x:c r="D12" s="22" t="str"/>
      <x:c r="E12" s="22" t="str"/>
      <x:c r="F12" s="22" t="str"/>
      <x:c r="G12" s="22" t="str"/>
      <x:c r="H12" s="22" t="str"/>
      <x:c r="I12" s="22" t="str"/>
      <x:c r="J12" s="22" t="str"/>
      <x:c r="K12" s="22" t="str"/>
    </x:row>
    <x:row r="13" ht="38" customHeight="1">
      <x:c r="A13" s="14" t="str">
        <x:v>RTE-08</x:v>
      </x:c>
      <x:c r="B13" s="22" t="str"/>
      <x:c r="C13" s="22" t="str">
        <x:v>Unresolved</x:v>
      </x:c>
      <x:c r="D13" s="22" t="str"/>
      <x:c r="E13" s="22" t="str"/>
      <x:c r="F13" s="22" t="str"/>
      <x:c r="G13" s="22" t="str"/>
      <x:c r="H13" s="22" t="str"/>
      <x:c r="I13" s="22" t="str"/>
      <x:c r="J13" s="22" t="str"/>
      <x:c r="K13" s="22" t="str"/>
    </x:row>
    <x:row r="14" ht="38" customHeight="1">
      <x:c r="A14" s="14" t="str">
        <x:v>RTE-09</x:v>
      </x:c>
      <x:c r="B14" s="22" t="str"/>
      <x:c r="C14" s="22" t="str">
        <x:v>Unresolved</x:v>
      </x:c>
      <x:c r="D14" s="22" t="str"/>
      <x:c r="E14" s="22" t="str"/>
      <x:c r="F14" s="22" t="str"/>
      <x:c r="G14" s="22" t="str"/>
      <x:c r="H14" s="22" t="str"/>
      <x:c r="I14" s="22" t="str"/>
      <x:c r="J14" s="22" t="str"/>
      <x:c r="K14" s="22" t="str"/>
    </x:row>
    <x:row r="15" ht="38" customHeight="1">
      <x:c r="A15" s="14" t="str">
        <x:v>RTE-10</x:v>
      </x:c>
      <x:c r="B15" s="22" t="str"/>
      <x:c r="C15" s="22" t="str">
        <x:v>Unresolved</x:v>
      </x:c>
      <x:c r="D15" s="22" t="str"/>
      <x:c r="E15" s="22" t="str"/>
      <x:c r="F15" s="22" t="str"/>
      <x:c r="G15" s="22" t="str"/>
      <x:c r="H15" s="22" t="str"/>
      <x:c r="I15" s="22" t="str"/>
      <x:c r="J15" s="22" t="str"/>
      <x:c r="K15" s="22" t="str"/>
    </x:row>
    <x:row r="16" ht="38" customHeight="1">
      <x:c r="A16" s="14" t="str">
        <x:v>RTE-11</x:v>
      </x:c>
      <x:c r="B16" s="22" t="str"/>
      <x:c r="C16" s="22" t="str">
        <x:v>Unresolved</x:v>
      </x:c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</x:row>
    <x:row r="17" ht="38" customHeight="1">
      <x:c r="A17" s="14" t="str">
        <x:v>RTE-12</x:v>
      </x:c>
      <x:c r="B17" s="22" t="str"/>
      <x:c r="C17" s="22" t="str">
        <x:v>Unresolved</x:v>
      </x:c>
      <x:c r="D17" s="22" t="str"/>
      <x:c r="E17" s="22" t="str"/>
      <x:c r="F17" s="22" t="str"/>
      <x:c r="G17" s="22" t="str"/>
      <x:c r="H17" s="22" t="str"/>
      <x:c r="I17" s="22" t="str"/>
      <x:c r="J17" s="22" t="str"/>
      <x:c r="K17" s="22" t="str"/>
    </x:row>
  </x:sheetData>
  <x:mergeCells>
    <x:mergeCell ref="A1:K1"/>
    <x:mergeCell ref="A2:K3"/>
  </x:mergeCells>
  <x:conditionalFormatting sqref="C6:C17">
    <x:cfRule type="expression" dxfId="4" priority="1">
      <x:formula>C6="Blocked"</x:formula>
    </x:cfRule>
    <x:cfRule type="expression" dxfId="5" priority="2">
      <x:formula>C6="Failed"</x:formula>
    </x:cfRule>
  </x:conditionalFormatting>
  <x:dataValidations count="1">
    <x:dataValidation type="list" sqref="C6:C17">
      <x:formula1>"Unresolved,IPv4,IPv6"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6e08e3a8246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4" hidden="0" customWidth="1"/>
    <x:col min="5" max="5" width="35" hidden="0" customWidth="1"/>
    <x:col min="6" max="6" width="18" hidden="0" customWidth="1"/>
    <x:col min="7" max="7" width="34" hidden="0" customWidth="1"/>
    <x:col min="8" max="8" width="31" hidden="0" customWidth="1"/>
    <x:col min="9" max="9" width="34" hidden="0" customWidth="1"/>
    <x:col min="10" max="10" width="37" hidden="0" customWidth="1"/>
    <x:col min="11" max="11" width="30" hidden="0" customWidth="1"/>
  </x:cols>
  <x:sheetData>
    <x:row r="1" ht="30" customHeight="1">
      <x:c r="A1" s="3" t="str">
        <x:v>Actual flow and service permission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8" t="str">
        <x:v>Record connection initiation and reply semantics. DNS TCP/UDP and other compound services require all applicable flows. No default allow.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9" t="str">
        <x:v>Flow ID</x:v>
      </x:c>
      <x:c r="B5" s="19" t="str">
        <x:v>Source identity</x:v>
      </x:c>
      <x:c r="C5" s="19" t="str">
        <x:v>Destination / service</x:v>
      </x:c>
      <x:c r="D5" s="19" t="str">
        <x:v>Initiation / reply</x:v>
      </x:c>
      <x:c r="E5" s="19" t="str">
        <x:v>Protocol / ports / type-code</x:v>
      </x:c>
      <x:c r="F5" s="19" t="str">
        <x:v>Family</x:v>
      </x:c>
      <x:c r="G5" s="19" t="str">
        <x:v>TLS / authentication</x:v>
      </x:c>
      <x:c r="H5" s="19" t="str">
        <x:v>Enforcement point</x:v>
      </x:c>
      <x:c r="I5" s="19" t="str">
        <x:v>Authority / expiry</x:v>
      </x:c>
      <x:c r="J5" s="19" t="str">
        <x:v>Expected denial</x:v>
      </x:c>
      <x:c r="K5" s="19" t="str">
        <x:v>Evidence</x:v>
      </x:c>
    </x:row>
    <x:row r="6" ht="38" customHeight="1">
      <x:c r="A6" s="14" t="str">
        <x:v>FLOW-01</x:v>
      </x:c>
      <x:c r="B6" s="22" t="str"/>
      <x:c r="C6" s="22" t="str"/>
      <x:c r="D6" s="22" t="str"/>
      <x:c r="E6" s="22" t="str"/>
      <x:c r="F6" s="22" t="str">
        <x:v>Unresolved</x:v>
      </x:c>
      <x:c r="G6" s="22" t="str"/>
      <x:c r="H6" s="22" t="str"/>
      <x:c r="I6" s="22" t="str"/>
      <x:c r="J6" s="22" t="str"/>
      <x:c r="K6" s="22" t="str"/>
    </x:row>
    <x:row r="7" ht="38" customHeight="1">
      <x:c r="A7" s="14" t="str">
        <x:v>FLOW-02</x:v>
      </x:c>
      <x:c r="B7" s="22" t="str"/>
      <x:c r="C7" s="22" t="str"/>
      <x:c r="D7" s="22" t="str"/>
      <x:c r="E7" s="22" t="str"/>
      <x:c r="F7" s="22" t="str">
        <x:v>Unresolved</x:v>
      </x:c>
      <x:c r="G7" s="22" t="str"/>
      <x:c r="H7" s="22" t="str"/>
      <x:c r="I7" s="22" t="str"/>
      <x:c r="J7" s="22" t="str"/>
      <x:c r="K7" s="22" t="str"/>
    </x:row>
    <x:row r="8" ht="38" customHeight="1">
      <x:c r="A8" s="14" t="str">
        <x:v>FLOW-03</x:v>
      </x:c>
      <x:c r="B8" s="22" t="str"/>
      <x:c r="C8" s="22" t="str"/>
      <x:c r="D8" s="22" t="str"/>
      <x:c r="E8" s="22" t="str"/>
      <x:c r="F8" s="22" t="str">
        <x:v>Unresolved</x:v>
      </x:c>
      <x:c r="G8" s="22" t="str"/>
      <x:c r="H8" s="22" t="str"/>
      <x:c r="I8" s="22" t="str"/>
      <x:c r="J8" s="22" t="str"/>
      <x:c r="K8" s="22" t="str"/>
    </x:row>
    <x:row r="9" ht="38" customHeight="1">
      <x:c r="A9" s="14" t="str">
        <x:v>FLOW-04</x:v>
      </x:c>
      <x:c r="B9" s="22" t="str"/>
      <x:c r="C9" s="22" t="str"/>
      <x:c r="D9" s="22" t="str"/>
      <x:c r="E9" s="22" t="str"/>
      <x:c r="F9" s="22" t="str">
        <x:v>Unresolved</x:v>
      </x:c>
      <x:c r="G9" s="22" t="str"/>
      <x:c r="H9" s="22" t="str"/>
      <x:c r="I9" s="22" t="str"/>
      <x:c r="J9" s="22" t="str"/>
      <x:c r="K9" s="22" t="str"/>
    </x:row>
    <x:row r="10" ht="38" customHeight="1">
      <x:c r="A10" s="14" t="str">
        <x:v>FLOW-05</x:v>
      </x:c>
      <x:c r="B10" s="22" t="str"/>
      <x:c r="C10" s="22" t="str"/>
      <x:c r="D10" s="22" t="str"/>
      <x:c r="E10" s="22" t="str"/>
      <x:c r="F10" s="22" t="str">
        <x:v>Unresolved</x:v>
      </x:c>
      <x:c r="G10" s="22" t="str"/>
      <x:c r="H10" s="22" t="str"/>
      <x:c r="I10" s="22" t="str"/>
      <x:c r="J10" s="22" t="str"/>
      <x:c r="K10" s="22" t="str"/>
    </x:row>
    <x:row r="11" ht="38" customHeight="1">
      <x:c r="A11" s="14" t="str">
        <x:v>FLOW-06</x:v>
      </x:c>
      <x:c r="B11" s="22" t="str"/>
      <x:c r="C11" s="22" t="str"/>
      <x:c r="D11" s="22" t="str"/>
      <x:c r="E11" s="22" t="str"/>
      <x:c r="F11" s="22" t="str">
        <x:v>Unresolved</x:v>
      </x:c>
      <x:c r="G11" s="22" t="str"/>
      <x:c r="H11" s="22" t="str"/>
      <x:c r="I11" s="22" t="str"/>
      <x:c r="J11" s="22" t="str"/>
      <x:c r="K11" s="22" t="str"/>
    </x:row>
    <x:row r="12" ht="38" customHeight="1">
      <x:c r="A12" s="14" t="str">
        <x:v>FLOW-07</x:v>
      </x:c>
      <x:c r="B12" s="22" t="str"/>
      <x:c r="C12" s="22" t="str"/>
      <x:c r="D12" s="22" t="str"/>
      <x:c r="E12" s="22" t="str"/>
      <x:c r="F12" s="22" t="str">
        <x:v>Unresolved</x:v>
      </x:c>
      <x:c r="G12" s="22" t="str"/>
      <x:c r="H12" s="22" t="str"/>
      <x:c r="I12" s="22" t="str"/>
      <x:c r="J12" s="22" t="str"/>
      <x:c r="K12" s="22" t="str"/>
    </x:row>
    <x:row r="13" ht="38" customHeight="1">
      <x:c r="A13" s="14" t="str">
        <x:v>FLOW-08</x:v>
      </x:c>
      <x:c r="B13" s="22" t="str"/>
      <x:c r="C13" s="22" t="str"/>
      <x:c r="D13" s="22" t="str"/>
      <x:c r="E13" s="22" t="str"/>
      <x:c r="F13" s="22" t="str">
        <x:v>Unresolved</x:v>
      </x:c>
      <x:c r="G13" s="22" t="str"/>
      <x:c r="H13" s="22" t="str"/>
      <x:c r="I13" s="22" t="str"/>
      <x:c r="J13" s="22" t="str"/>
      <x:c r="K13" s="22" t="str"/>
    </x:row>
    <x:row r="14" ht="38" customHeight="1">
      <x:c r="A14" s="14" t="str">
        <x:v>FLOW-09</x:v>
      </x:c>
      <x:c r="B14" s="22" t="str"/>
      <x:c r="C14" s="22" t="str"/>
      <x:c r="D14" s="22" t="str"/>
      <x:c r="E14" s="22" t="str"/>
      <x:c r="F14" s="22" t="str">
        <x:v>Unresolved</x:v>
      </x:c>
      <x:c r="G14" s="22" t="str"/>
      <x:c r="H14" s="22" t="str"/>
      <x:c r="I14" s="22" t="str"/>
      <x:c r="J14" s="22" t="str"/>
      <x:c r="K14" s="22" t="str"/>
    </x:row>
    <x:row r="15" ht="38" customHeight="1">
      <x:c r="A15" s="14" t="str">
        <x:v>FLOW-10</x:v>
      </x:c>
      <x:c r="B15" s="22" t="str"/>
      <x:c r="C15" s="22" t="str"/>
      <x:c r="D15" s="22" t="str"/>
      <x:c r="E15" s="22" t="str"/>
      <x:c r="F15" s="22" t="str">
        <x:v>Unresolved</x:v>
      </x:c>
      <x:c r="G15" s="22" t="str"/>
      <x:c r="H15" s="22" t="str"/>
      <x:c r="I15" s="22" t="str"/>
      <x:c r="J15" s="22" t="str"/>
      <x:c r="K15" s="22" t="str"/>
    </x:row>
    <x:row r="16" ht="38" customHeight="1">
      <x:c r="A16" s="14" t="str">
        <x:v>FLOW-11</x:v>
      </x:c>
      <x:c r="B16" s="22" t="str"/>
      <x:c r="C16" s="22" t="str"/>
      <x:c r="D16" s="22" t="str"/>
      <x:c r="E16" s="22" t="str"/>
      <x:c r="F16" s="22" t="str">
        <x:v>Unresolved</x:v>
      </x:c>
      <x:c r="G16" s="22" t="str"/>
      <x:c r="H16" s="22" t="str"/>
      <x:c r="I16" s="22" t="str"/>
      <x:c r="J16" s="22" t="str"/>
      <x:c r="K16" s="22" t="str"/>
    </x:row>
    <x:row r="17" ht="38" customHeight="1">
      <x:c r="A17" s="14" t="str">
        <x:v>FLOW-12</x:v>
      </x:c>
      <x:c r="B17" s="22" t="str"/>
      <x:c r="C17" s="22" t="str"/>
      <x:c r="D17" s="22" t="str"/>
      <x:c r="E17" s="22" t="str"/>
      <x:c r="F17" s="22" t="str">
        <x:v>Unresolved</x:v>
      </x:c>
      <x:c r="G17" s="22" t="str"/>
      <x:c r="H17" s="22" t="str"/>
      <x:c r="I17" s="22" t="str"/>
      <x:c r="J17" s="22" t="str"/>
      <x:c r="K17" s="22" t="str"/>
    </x:row>
  </x:sheetData>
  <x:mergeCells>
    <x:mergeCell ref="A1:K1"/>
    <x:mergeCell ref="A2:K3"/>
  </x:mergeCells>
  <x:conditionalFormatting sqref="F6:F17">
    <x:cfRule type="expression" dxfId="6" priority="1">
      <x:formula>F6="Blocked"</x:formula>
    </x:cfRule>
    <x:cfRule type="expression" dxfId="7" priority="2">
      <x:formula>F6="Failed"</x:formula>
    </x:cfRule>
  </x:conditionalFormatting>
  <x:dataValidations count="1">
    <x:dataValidation type="list" sqref="F6:F17">
      <x:formula1>"Unresolved,IPv4,IPv6,Both"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70c1b2641e41e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37" hidden="0" customWidth="1"/>
    <x:col min="4" max="4" width="32" hidden="0" customWidth="1"/>
    <x:col min="5" max="5" width="32" hidden="0" customWidth="1"/>
    <x:col min="6" max="6" width="36" hidden="0" customWidth="1"/>
    <x:col min="7" max="7" width="38" hidden="0" customWidth="1"/>
    <x:col min="8" max="8" width="38" hidden="0" customWidth="1"/>
    <x:col min="9" max="9" width="44" hidden="0" customWidth="1"/>
    <x:col min="10" max="10" width="30" hidden="0" customWidth="1"/>
  </x:cols>
  <x:sheetData>
    <x:row r="1" ht="30" customHeight="1">
      <x:c r="A1" s="3" t="str">
        <x:v>Compute, storage and copy placement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Specify actual native eligibility for create, restart, evacuation, migration and restore. Guest IP policy does not by itself govern virtual-disk attachment.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Resource ID</x:v>
      </x:c>
      <x:c r="B5" s="19" t="str">
        <x:v>Role / WSD / domain</x:v>
      </x:c>
      <x:c r="C5" s="19" t="str">
        <x:v>Native pool / placement</x:v>
      </x:c>
      <x:c r="D5" s="19" t="str">
        <x:v>vCPU / memory requirement</x:v>
      </x:c>
      <x:c r="E5" s="19" t="str">
        <x:v>Storage class / amount</x:v>
      </x:c>
      <x:c r="F5" s="19" t="str">
        <x:v>Image / boot / device</x:v>
      </x:c>
      <x:c r="G5" s="19" t="str">
        <x:v>Key client / custody</x:v>
      </x:c>
      <x:c r="H5" s="19" t="str">
        <x:v>Copy / backup / retention</x:v>
      </x:c>
      <x:c r="I5" s="19" t="str">
        <x:v>Failure / restart constraints</x:v>
      </x:c>
      <x:c r="J5" s="19" t="str">
        <x:v>Owner / evidence</x:v>
      </x:c>
    </x:row>
    <x:row r="6" ht="38" customHeight="1">
      <x:c r="A6" s="14" t="str">
        <x:v>RES-01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/>
    </x:row>
    <x:row r="7" ht="38" customHeight="1">
      <x:c r="A7" s="14" t="str">
        <x:v>RES-02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</x:row>
    <x:row r="8" ht="38" customHeight="1">
      <x:c r="A8" s="14" t="str">
        <x:v>RES-03</x:v>
      </x:c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/>
    </x:row>
    <x:row r="9" ht="38" customHeight="1">
      <x:c r="A9" s="14" t="str">
        <x:v>RES-04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/>
    </x:row>
    <x:row r="10" ht="38" customHeight="1">
      <x:c r="A10" s="14" t="str">
        <x:v>RES-05</x:v>
      </x:c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/>
    </x:row>
    <x:row r="11" ht="38" customHeight="1">
      <x:c r="A11" s="14" t="str">
        <x:v>RES-06</x:v>
      </x:c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/>
    </x:row>
    <x:row r="12" ht="38" customHeight="1">
      <x:c r="A12" s="14" t="str">
        <x:v>RES-07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/>
    </x:row>
    <x:row r="13" ht="38" customHeight="1">
      <x:c r="A13" s="14" t="str">
        <x:v>RES-08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/>
    </x:row>
    <x:row r="14" ht="38" customHeight="1">
      <x:c r="A14" s="14" t="str">
        <x:v>RES-09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/>
    </x:row>
    <x:row r="15" ht="38" customHeight="1">
      <x:c r="A15" s="14" t="str">
        <x:v>RES-10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d7130e4046e54c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1" hidden="0" customWidth="1"/>
    <x:col min="4" max="4" width="38" hidden="0" customWidth="1"/>
    <x:col min="5" max="5" width="42" hidden="0" customWidth="1"/>
    <x:col min="6" max="6" width="38" hidden="0" customWidth="1"/>
    <x:col min="7" max="7" width="44" hidden="0" customWidth="1"/>
    <x:col min="8" max="8" width="32" hidden="0" customWidth="1"/>
  </x:cols>
  <x:sheetData>
    <x:row r="1" ht="30" customHeight="1">
      <x:c r="A1" s="3" t="str">
        <x:v>Shared service and management interfaces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Seeded services are obligations to design, not provisioned endpoints. Separate consuming clients from platform, service and key administrators.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Service</x:v>
      </x:c>
      <x:c r="B5" s="19" t="str">
        <x:v>Consumer / actual client</x:v>
      </x:c>
      <x:c r="C5" s="19" t="str">
        <x:v>Consumption endpoint / protocol</x:v>
      </x:c>
      <x:c r="D5" s="19" t="str">
        <x:v>Entitlement / data scope</x:v>
      </x:c>
      <x:c r="E5" s="19" t="str">
        <x:v>Separate management path</x:v>
      </x:c>
      <x:c r="F5" s="19" t="str">
        <x:v>Reply / source policy</x:v>
      </x:c>
      <x:c r="G5" s="19" t="str">
        <x:v>Bootstrap / recovery dependency</x:v>
      </x:c>
      <x:c r="H5" s="19" t="str">
        <x:v>Owner / evidence</x:v>
      </x:c>
    </x:row>
    <x:row r="6" ht="38" customHeight="1">
      <x:c r="A6" s="14" t="str">
        <x:v>DNS</x:v>
      </x:c>
      <x:c r="B6" s="22" t="str"/>
      <x:c r="C6" s="22" t="str"/>
      <x:c r="D6" s="22" t="str"/>
      <x:c r="E6" s="22" t="str"/>
      <x:c r="F6" s="22" t="str"/>
      <x:c r="G6" s="22" t="str"/>
      <x:c r="H6" s="22" t="str"/>
    </x:row>
    <x:row r="7" ht="38" customHeight="1">
      <x:c r="A7" s="14" t="str">
        <x:v>Time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38" customHeight="1">
      <x:c r="A8" s="14" t="str">
        <x:v>Identity</x:v>
      </x:c>
      <x:c r="B8" s="22" t="str"/>
      <x:c r="C8" s="22" t="str"/>
      <x:c r="D8" s="22" t="str"/>
      <x:c r="E8" s="22" t="str"/>
      <x:c r="F8" s="22" t="str"/>
      <x:c r="G8" s="22" t="str"/>
      <x:c r="H8" s="22" t="str"/>
    </x:row>
    <x:row r="9" ht="38" customHeight="1">
      <x:c r="A9" s="14" t="str">
        <x:v>PKI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 ht="38" customHeight="1">
      <x:c r="A10" s="14" t="str">
        <x:v>KMS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 ht="38" customHeight="1">
      <x:c r="A11" s="14" t="str">
        <x:v>Log ingestion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 ht="38" customHeight="1">
      <x:c r="A12" s="14" t="str">
        <x:v>Monitoring</x:v>
      </x:c>
      <x:c r="B12" s="22" t="str"/>
      <x:c r="C12" s="22" t="str"/>
      <x:c r="D12" s="22" t="str"/>
      <x:c r="E12" s="22" t="str"/>
      <x:c r="F12" s="22" t="str"/>
      <x:c r="G12" s="22" t="str"/>
      <x:c r="H12" s="22" t="str"/>
    </x:row>
    <x:row r="13" ht="38" customHeight="1">
      <x:c r="A13" s="14" t="str">
        <x:v>Images / update</x:v>
      </x:c>
      <x:c r="B13" s="22" t="str"/>
      <x:c r="C13" s="22" t="str"/>
      <x:c r="D13" s="22" t="str"/>
      <x:c r="E13" s="22" t="str"/>
      <x:c r="F13" s="22" t="str"/>
      <x:c r="G13" s="22" t="str"/>
      <x:c r="H13" s="22" t="str"/>
    </x:row>
    <x:row r="14" ht="38" customHeight="1">
      <x:c r="A14" s="14" t="str">
        <x:v>Backup capture</x:v>
      </x:c>
      <x:c r="B14" s="22" t="str"/>
      <x:c r="C14" s="22" t="str"/>
      <x:c r="D14" s="22" t="str"/>
      <x:c r="E14" s="22" t="str"/>
      <x:c r="F14" s="22" t="str"/>
      <x:c r="G14" s="22" t="str"/>
      <x:c r="H14" s="22" t="str"/>
    </x:row>
    <x:row r="15" ht="38" customHeight="1">
      <x:c r="A15" s="14" t="str">
        <x:v>Backup data</x:v>
      </x:c>
      <x:c r="B15" s="22" t="str"/>
      <x:c r="C15" s="22" t="str"/>
      <x:c r="D15" s="22" t="str"/>
      <x:c r="E15" s="22" t="str"/>
      <x:c r="F15" s="22" t="str"/>
      <x:c r="G15" s="22" t="str"/>
      <x:c r="H15" s="22" t="str"/>
    </x:row>
    <x:row r="16" ht="38" customHeight="1">
      <x:c r="A16" s="14" t="str">
        <x:v>File / object data</x:v>
      </x:c>
      <x:c r="B16" s="22" t="str"/>
      <x:c r="C16" s="22" t="str"/>
      <x:c r="D16" s="22" t="str"/>
      <x:c r="E16" s="22" t="str"/>
      <x:c r="F16" s="22" t="str"/>
      <x:c r="G16" s="22" t="str"/>
      <x:c r="H16" s="22" t="str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c0a63895452445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2" hidden="0" customWidth="1"/>
    <x:col min="4" max="4" width="29" hidden="0" customWidth="1"/>
    <x:col min="5" max="5" width="39" hidden="0" customWidth="1"/>
    <x:col min="6" max="6" width="43" hidden="0" customWidth="1"/>
    <x:col min="7" max="7" width="35" hidden="0" customWidth="1"/>
    <x:col min="8" max="8" width="43" hidden="0" customWidth="1"/>
  </x:cols>
  <x:sheetData>
    <x:row r="1" ht="30" customHeight="1">
      <x:c r="A1" s="3" t="str">
        <x:v>Resource writer, privilege and custody schedule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One authoritative tool/owner per native object and sensitive subresource. Store custody references, not secrets.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Scope</x:v>
      </x:c>
      <x:c r="B5" s="19" t="str">
        <x:v>Native resources / operations</x:v>
      </x:c>
      <x:c r="C5" s="19" t="str">
        <x:v>Authoritative tool</x:v>
      </x:c>
      <x:c r="D5" s="19" t="str">
        <x:v>Actual role / owner</x:v>
      </x:c>
      <x:c r="E5" s="19" t="str">
        <x:v>Credential custody reference</x:v>
      </x:c>
      <x:c r="F5" s="19" t="str">
        <x:v>Allowed API / network targets</x:v>
      </x:c>
      <x:c r="G5" s="19" t="str">
        <x:v>Review / revocation</x:v>
      </x:c>
      <x:c r="H5" s="19" t="str">
        <x:v>Competing writer disposition</x:v>
      </x:c>
    </x:row>
    <x:row r="6" ht="38" customHeight="1">
      <x:c r="A6" s="14" t="str">
        <x:v>P0 bootstrap</x:v>
      </x:c>
      <x:c r="B6" s="22" t="str"/>
      <x:c r="C6" s="22" t="str"/>
      <x:c r="D6" s="22" t="str"/>
      <x:c r="E6" s="22" t="str"/>
      <x:c r="F6" s="22" t="str"/>
      <x:c r="G6" s="22" t="str"/>
      <x:c r="H6" s="22" t="str"/>
    </x:row>
    <x:row r="7" ht="38" customHeight="1">
      <x:c r="A7" s="14" t="str">
        <x:v>P1 fabric / OOB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38" customHeight="1">
      <x:c r="A8" s="14" t="str">
        <x:v>P2 platform install</x:v>
      </x:c>
      <x:c r="B8" s="22" t="str"/>
      <x:c r="C8" s="22" t="str"/>
      <x:c r="D8" s="22" t="str"/>
      <x:c r="E8" s="22" t="str"/>
      <x:c r="F8" s="22" t="str"/>
      <x:c r="G8" s="22" t="str"/>
      <x:c r="H8" s="22" t="str"/>
    </x:row>
    <x:row r="9" ht="38" customHeight="1">
      <x:c r="A9" s="14" t="str">
        <x:v>P3 security edge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 ht="38" customHeight="1">
      <x:c r="A10" s="14" t="str">
        <x:v>P3 names / trust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 ht="38" customHeight="1">
      <x:c r="A11" s="14" t="str">
        <x:v>P3 protection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 ht="38" customHeight="1">
      <x:c r="A12" s="14" t="str">
        <x:v>P4 networks / mandatory policy</x:v>
      </x:c>
      <x:c r="B12" s="22" t="str"/>
      <x:c r="C12" s="22" t="str"/>
      <x:c r="D12" s="22" t="str"/>
      <x:c r="E12" s="22" t="str"/>
      <x:c r="F12" s="22" t="str"/>
      <x:c r="G12" s="22" t="str"/>
      <x:c r="H12" s="22" t="str"/>
    </x:row>
    <x:row r="13" ht="38" customHeight="1">
      <x:c r="A13" s="14" t="str">
        <x:v>P5 workload / disks</x:v>
      </x:c>
      <x:c r="B13" s="22" t="str"/>
      <x:c r="C13" s="22" t="str"/>
      <x:c r="D13" s="22" t="str"/>
      <x:c r="E13" s="22" t="str"/>
      <x:c r="F13" s="22" t="str"/>
      <x:c r="G13" s="22" t="str"/>
      <x:c r="H13" s="22" t="str"/>
    </x:row>
    <x:row r="14" ht="38" customHeight="1">
      <x:c r="A14" s="14" t="str">
        <x:v>P6 restore / retirement</x:v>
      </x:c>
      <x:c r="B14" s="22" t="str"/>
      <x:c r="C14" s="22" t="str"/>
      <x:c r="D14" s="22" t="str"/>
      <x:c r="E14" s="22" t="str"/>
      <x:c r="F14" s="22" t="str"/>
      <x:c r="G14" s="22" t="str"/>
      <x:c r="H14" s="22" t="str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b98c37006074a1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1" hidden="0" customWidth="1"/>
    <x:col min="4" max="4" width="28" hidden="0" customWidth="1"/>
    <x:col min="5" max="5" width="43" hidden="0" customWidth="1"/>
    <x:col min="6" max="6" width="44" hidden="0" customWidth="1"/>
    <x:col min="7" max="7" width="43" hidden="0" customWidth="1"/>
    <x:col min="8" max="8" width="35" hidden="0" customWidth="1"/>
  </x:cols>
  <x:sheetData>
    <x:row r="1" ht="30" customHeight="1">
      <x:c r="A1" s="3" t="str">
        <x:v>Failure, bootstrap and recovery dependencies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For each failure, name what remains available and how the dependency is recovered. A different component label is not proof of independence.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Dependency ID</x:v>
      </x:c>
      <x:c r="B5" s="19" t="str">
        <x:v>Consuming component</x:v>
      </x:c>
      <x:c r="C5" s="19" t="str">
        <x:v>Required service</x:v>
      </x:c>
      <x:c r="D5" s="19" t="str">
        <x:v>Data / admin / bootstrap</x:v>
      </x:c>
      <x:c r="E5" s="19" t="str">
        <x:v>Failure / partition scenario</x:v>
      </x:c>
      <x:c r="F5" s="19" t="str">
        <x:v>Expected surviving behaviour</x:v>
      </x:c>
      <x:c r="G5" s="19" t="str">
        <x:v>Independent recovery path</x:v>
      </x:c>
      <x:c r="H5" s="19" t="str">
        <x:v>Accepted owner / evidence</x:v>
      </x:c>
    </x:row>
    <x:row r="6" ht="38" customHeight="1">
      <x:c r="A6" s="14" t="str">
        <x:v>DEP-01</x:v>
      </x:c>
      <x:c r="B6" s="22" t="str"/>
      <x:c r="C6" s="22" t="str"/>
      <x:c r="D6" s="22" t="str">
        <x:v>Unresolved</x:v>
      </x:c>
      <x:c r="E6" s="22" t="str"/>
      <x:c r="F6" s="22" t="str"/>
      <x:c r="G6" s="22" t="str"/>
      <x:c r="H6" s="22" t="str"/>
    </x:row>
    <x:row r="7" ht="38" customHeight="1">
      <x:c r="A7" s="14" t="str">
        <x:v>DEP-02</x:v>
      </x:c>
      <x:c r="B7" s="22" t="str"/>
      <x:c r="C7" s="22" t="str"/>
      <x:c r="D7" s="22" t="str">
        <x:v>Unresolved</x:v>
      </x:c>
      <x:c r="E7" s="22" t="str"/>
      <x:c r="F7" s="22" t="str"/>
      <x:c r="G7" s="22" t="str"/>
      <x:c r="H7" s="22" t="str"/>
    </x:row>
    <x:row r="8" ht="38" customHeight="1">
      <x:c r="A8" s="14" t="str">
        <x:v>DEP-03</x:v>
      </x:c>
      <x:c r="B8" s="22" t="str"/>
      <x:c r="C8" s="22" t="str"/>
      <x:c r="D8" s="22" t="str">
        <x:v>Unresolved</x:v>
      </x:c>
      <x:c r="E8" s="22" t="str"/>
      <x:c r="F8" s="22" t="str"/>
      <x:c r="G8" s="22" t="str"/>
      <x:c r="H8" s="22" t="str"/>
    </x:row>
    <x:row r="9" ht="38" customHeight="1">
      <x:c r="A9" s="14" t="str">
        <x:v>DEP-04</x:v>
      </x:c>
      <x:c r="B9" s="22" t="str"/>
      <x:c r="C9" s="22" t="str"/>
      <x:c r="D9" s="22" t="str">
        <x:v>Unresolved</x:v>
      </x:c>
      <x:c r="E9" s="22" t="str"/>
      <x:c r="F9" s="22" t="str"/>
      <x:c r="G9" s="22" t="str"/>
      <x:c r="H9" s="22" t="str"/>
    </x:row>
    <x:row r="10" ht="38" customHeight="1">
      <x:c r="A10" s="14" t="str">
        <x:v>DEP-05</x:v>
      </x:c>
      <x:c r="B10" s="22" t="str"/>
      <x:c r="C10" s="22" t="str"/>
      <x:c r="D10" s="22" t="str">
        <x:v>Unresolved</x:v>
      </x:c>
      <x:c r="E10" s="22" t="str"/>
      <x:c r="F10" s="22" t="str"/>
      <x:c r="G10" s="22" t="str"/>
      <x:c r="H10" s="22" t="str"/>
    </x:row>
    <x:row r="11" ht="38" customHeight="1">
      <x:c r="A11" s="14" t="str">
        <x:v>DEP-06</x:v>
      </x:c>
      <x:c r="B11" s="22" t="str"/>
      <x:c r="C11" s="22" t="str"/>
      <x:c r="D11" s="22" t="str">
        <x:v>Unresolved</x:v>
      </x:c>
      <x:c r="E11" s="22" t="str"/>
      <x:c r="F11" s="22" t="str"/>
      <x:c r="G11" s="22" t="str"/>
      <x:c r="H11" s="22" t="str"/>
    </x:row>
    <x:row r="12" ht="38" customHeight="1">
      <x:c r="A12" s="14" t="str">
        <x:v>DEP-07</x:v>
      </x:c>
      <x:c r="B12" s="22" t="str"/>
      <x:c r="C12" s="22" t="str"/>
      <x:c r="D12" s="22" t="str">
        <x:v>Unresolved</x:v>
      </x:c>
      <x:c r="E12" s="22" t="str"/>
      <x:c r="F12" s="22" t="str"/>
      <x:c r="G12" s="22" t="str"/>
      <x:c r="H12" s="22" t="str"/>
    </x:row>
    <x:row r="13" ht="38" customHeight="1">
      <x:c r="A13" s="14" t="str">
        <x:v>DEP-08</x:v>
      </x:c>
      <x:c r="B13" s="22" t="str"/>
      <x:c r="C13" s="22" t="str"/>
      <x:c r="D13" s="22" t="str">
        <x:v>Unresolved</x:v>
      </x:c>
      <x:c r="E13" s="22" t="str"/>
      <x:c r="F13" s="22" t="str"/>
      <x:c r="G13" s="22" t="str"/>
      <x:c r="H13" s="22" t="str"/>
    </x:row>
    <x:row r="14" ht="38" customHeight="1">
      <x:c r="A14" s="14" t="str">
        <x:v>DEP-09</x:v>
      </x:c>
      <x:c r="B14" s="22" t="str"/>
      <x:c r="C14" s="22" t="str"/>
      <x:c r="D14" s="22" t="str">
        <x:v>Unresolved</x:v>
      </x:c>
      <x:c r="E14" s="22" t="str"/>
      <x:c r="F14" s="22" t="str"/>
      <x:c r="G14" s="22" t="str"/>
      <x:c r="H14" s="22" t="str"/>
    </x:row>
    <x:row r="15" ht="38" customHeight="1">
      <x:c r="A15" s="14" t="str">
        <x:v>DEP-10</x:v>
      </x:c>
      <x:c r="B15" s="22" t="str"/>
      <x:c r="C15" s="22" t="str"/>
      <x:c r="D15" s="22" t="str">
        <x:v>Unresolved</x:v>
      </x:c>
      <x:c r="E15" s="22" t="str"/>
      <x:c r="F15" s="22" t="str"/>
      <x:c r="G15" s="22" t="str"/>
      <x:c r="H15" s="22" t="str"/>
    </x:row>
    <x:row r="16" ht="38" customHeight="1">
      <x:c r="A16" s="14" t="str">
        <x:v>DEP-11</x:v>
      </x:c>
      <x:c r="B16" s="22" t="str"/>
      <x:c r="C16" s="22" t="str"/>
      <x:c r="D16" s="22" t="str">
        <x:v>Unresolved</x:v>
      </x:c>
      <x:c r="E16" s="22" t="str"/>
      <x:c r="F16" s="22" t="str"/>
      <x:c r="G16" s="22" t="str"/>
      <x:c r="H16" s="22" t="str"/>
    </x:row>
    <x:row r="17" ht="38" customHeight="1">
      <x:c r="A17" s="14" t="str">
        <x:v>DEP-12</x:v>
      </x:c>
      <x:c r="B17" s="22" t="str"/>
      <x:c r="C17" s="22" t="str"/>
      <x:c r="D17" s="22" t="str">
        <x:v>Unresolved</x:v>
      </x:c>
      <x:c r="E17" s="22" t="str"/>
      <x:c r="F17" s="22" t="str"/>
      <x:c r="G17" s="22" t="str"/>
      <x:c r="H17" s="22" t="str"/>
    </x:row>
  </x:sheetData>
  <x:mergeCells>
    <x:mergeCell ref="A1:H1"/>
    <x:mergeCell ref="A2:H3"/>
  </x:mergeCells>
  <x:conditionalFormatting sqref="D6:D17">
    <x:cfRule type="expression" dxfId="8" priority="1">
      <x:formula>D6="Blocked"</x:formula>
    </x:cfRule>
    <x:cfRule type="expression" dxfId="9" priority="2">
      <x:formula>D6="Failed"</x:formula>
    </x:cfRule>
  </x:conditionalFormatting>
  <x:dataValidations count="1">
    <x:dataValidation type="list" sqref="D6:D17">
      <x:formula1>"Unresolved,Data,Administration,Bootstrap,Recovery,Multiple"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a6e583f0045c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30" hidden="0" customWidth="1"/>
    <x:col min="4" max="4" width="33" hidden="0" customWidth="1"/>
    <x:col min="5" max="5" width="34" hidden="0" customWidth="1"/>
    <x:col min="6" max="6" width="42" hidden="0" customWidth="1"/>
    <x:col min="7" max="7" width="38" hidden="0" customWidth="1"/>
    <x:col min="8" max="8" width="38" hidden="0" customWidth="1"/>
    <x:col min="9" max="9" width="48" hidden="0" customWidth="1"/>
    <x:col min="10" max="10" width="20" hidden="0" customWidth="1"/>
  </x:cols>
  <x:sheetData>
    <x:row r="1" ht="30" customHeight="1">
      <x:c r="A1" s="3" t="str">
        <x:v>Exact platform and integration support record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No tuple is prequalified. Record feature-level compatibility, enabled entitlements, topology and actual support evidence; do not use a moving latest version as a qualification record.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Track</x:v>
      </x:c>
      <x:c r="B5" s="19" t="str">
        <x:v>Product / release</x:v>
      </x:c>
      <x:c r="C5" s="19" t="str">
        <x:v>API / backend</x:v>
      </x:c>
      <x:c r="D5" s="19" t="str">
        <x:v>Provider / version</x:v>
      </x:c>
      <x:c r="E5" s="19" t="str">
        <x:v>Installer / lifecycle</x:v>
      </x:c>
      <x:c r="F5" s="19" t="str">
        <x:v>Hardware / firmware / driver</x:v>
      </x:c>
      <x:c r="G5" s="19" t="str">
        <x:v>Features / entitlement</x:v>
      </x:c>
      <x:c r="H5" s="19" t="str">
        <x:v>Gateway / HA / topology</x:v>
      </x:c>
      <x:c r="I5" s="19" t="str">
        <x:v>Support reference / limitation</x:v>
      </x:c>
      <x:c r="J5" s="19" t="str">
        <x:v>Qualification</x:v>
      </x:c>
    </x:row>
    <x:row r="6" ht="38" customHeight="1">
      <x:c r="A6" s="14" t="str">
        <x:v>Nutanix</x:v>
      </x:c>
      <x:c r="B6" s="22" t="str"/>
      <x:c r="C6" s="22" t="str"/>
      <x:c r="D6" s="22" t="str"/>
      <x:c r="E6" s="22" t="str"/>
      <x:c r="F6" s="22" t="str"/>
      <x:c r="G6" s="22" t="str"/>
      <x:c r="H6" s="22" t="str"/>
      <x:c r="I6" s="22" t="str"/>
      <x:c r="J6" s="22" t="str">
        <x:v>Unqualified</x:v>
      </x:c>
    </x:row>
    <x:row r="7" ht="38" customHeight="1">
      <x:c r="A7" s="14" t="str">
        <x:v>VMware vSphere</x:v>
      </x:c>
      <x:c r="B7" s="22" t="str"/>
      <x:c r="C7" s="22" t="str"/>
      <x:c r="D7" s="22" t="str"/>
      <x:c r="E7" s="22" t="str"/>
      <x:c r="F7" s="22" t="str"/>
      <x:c r="G7" s="22" t="str"/>
      <x:c r="H7" s="22" t="str"/>
      <x:c r="I7" s="22" t="str"/>
      <x:c r="J7" s="22" t="str">
        <x:v>Unqualified</x:v>
      </x:c>
    </x:row>
    <x:row r="8" ht="38" customHeight="1">
      <x:c r="A8" s="14" t="str">
        <x:v>VMware NSX</x:v>
      </x:c>
      <x:c r="B8" s="22" t="str"/>
      <x:c r="C8" s="22" t="str"/>
      <x:c r="D8" s="22" t="str"/>
      <x:c r="E8" s="22" t="str"/>
      <x:c r="F8" s="22" t="str"/>
      <x:c r="G8" s="22" t="str"/>
      <x:c r="H8" s="22" t="str"/>
      <x:c r="I8" s="22" t="str"/>
      <x:c r="J8" s="22" t="str">
        <x:v>Unqualified</x:v>
      </x:c>
    </x:row>
    <x:row r="9" ht="38" customHeight="1">
      <x:c r="A9" s="14" t="str">
        <x:v>OpenStack distribution</x:v>
      </x:c>
      <x:c r="B9" s="22" t="str"/>
      <x:c r="C9" s="22" t="str"/>
      <x:c r="D9" s="22" t="str"/>
      <x:c r="E9" s="22" t="str"/>
      <x:c r="F9" s="22" t="str"/>
      <x:c r="G9" s="22" t="str"/>
      <x:c r="H9" s="22" t="str"/>
      <x:c r="I9" s="22" t="str"/>
      <x:c r="J9" s="22" t="str">
        <x:v>Unqualified</x:v>
      </x:c>
    </x:row>
    <x:row r="10" ht="38" customHeight="1">
      <x:c r="A10" s="14" t="str">
        <x:v>OpenStack networking</x:v>
      </x:c>
      <x:c r="B10" s="22" t="str"/>
      <x:c r="C10" s="22" t="str"/>
      <x:c r="D10" s="22" t="str"/>
      <x:c r="E10" s="22" t="str"/>
      <x:c r="F10" s="22" t="str"/>
      <x:c r="G10" s="22" t="str"/>
      <x:c r="H10" s="22" t="str"/>
      <x:c r="I10" s="22" t="str"/>
      <x:c r="J10" s="22" t="str">
        <x:v>Unqualified</x:v>
      </x:c>
    </x:row>
    <x:row r="11" ht="38" customHeight="1">
      <x:c r="A11" s="14" t="str">
        <x:v>Fabric / OOB</x:v>
      </x:c>
      <x:c r="B11" s="22" t="str"/>
      <x:c r="C11" s="22" t="str"/>
      <x:c r="D11" s="22" t="str"/>
      <x:c r="E11" s="22" t="str"/>
      <x:c r="F11" s="22" t="str"/>
      <x:c r="G11" s="22" t="str"/>
      <x:c r="H11" s="22" t="str"/>
      <x:c r="I11" s="22" t="str"/>
      <x:c r="J11" s="22" t="str">
        <x:v>Unqualified</x:v>
      </x:c>
    </x:row>
    <x:row r="12" ht="38" customHeight="1">
      <x:c r="A12" s="14" t="str">
        <x:v>Security edge</x:v>
      </x:c>
      <x:c r="B12" s="22" t="str"/>
      <x:c r="C12" s="22" t="str"/>
      <x:c r="D12" s="22" t="str"/>
      <x:c r="E12" s="22" t="str"/>
      <x:c r="F12" s="22" t="str"/>
      <x:c r="G12" s="22" t="str"/>
      <x:c r="H12" s="22" t="str"/>
      <x:c r="I12" s="22" t="str"/>
      <x:c r="J12" s="22" t="str">
        <x:v>Unqualified</x:v>
      </x:c>
    </x:row>
    <x:row r="13" ht="38" customHeight="1">
      <x:c r="A13" s="14" t="str">
        <x:v>Storage / backup</x:v>
      </x:c>
      <x:c r="B13" s="22" t="str"/>
      <x:c r="C13" s="22" t="str"/>
      <x:c r="D13" s="22" t="str"/>
      <x:c r="E13" s="22" t="str"/>
      <x:c r="F13" s="22" t="str"/>
      <x:c r="G13" s="22" t="str"/>
      <x:c r="H13" s="22" t="str"/>
      <x:c r="I13" s="22" t="str"/>
      <x:c r="J13" s="22" t="str">
        <x:v>Unqualified</x:v>
      </x:c>
    </x:row>
    <x:row r="14" ht="38" customHeight="1">
      <x:c r="A14" s="14" t="str">
        <x:v>Identity / PKI / KMS</x:v>
      </x:c>
      <x:c r="B14" s="22" t="str"/>
      <x:c r="C14" s="22" t="str"/>
      <x:c r="D14" s="22" t="str"/>
      <x:c r="E14" s="22" t="str"/>
      <x:c r="F14" s="22" t="str"/>
      <x:c r="G14" s="22" t="str"/>
      <x:c r="H14" s="22" t="str"/>
      <x:c r="I14" s="22" t="str"/>
      <x:c r="J14" s="22" t="str">
        <x:v>Unqualified</x:v>
      </x:c>
    </x:row>
    <x:row r="15" ht="38" customHeight="1">
      <x:c r="A15" s="14" t="str">
        <x:v>IPAM / DNS / logging</x:v>
      </x:c>
      <x:c r="B15" s="22" t="str"/>
      <x:c r="C15" s="22" t="str"/>
      <x:c r="D15" s="22" t="str"/>
      <x:c r="E15" s="22" t="str"/>
      <x:c r="F15" s="22" t="str"/>
      <x:c r="G15" s="22" t="str"/>
      <x:c r="H15" s="22" t="str"/>
      <x:c r="I15" s="22" t="str"/>
      <x:c r="J15" s="22" t="str">
        <x:v>Unqualified</x:v>
      </x:c>
    </x:row>
  </x:sheetData>
  <x:mergeCells>
    <x:mergeCell ref="A1:J1"/>
    <x:mergeCell ref="A2:J3"/>
  </x:mergeCells>
  <x:conditionalFormatting sqref="J6:J15">
    <x:cfRule type="expression" dxfId="10" priority="1">
      <x:formula>J6="Blocked"</x:formula>
    </x:cfRule>
    <x:cfRule type="expression" dxfId="11" priority="2">
      <x:formula>J6="Failed"</x:formula>
    </x:cfRule>
  </x:conditionalFormatting>
  <x:dataValidations count="1">
    <x:dataValidation type="list" sqref="J6:J15">
      <x:formula1>"Unqualified,Candidate,Testing,Qualified,Restricted,Expired,Revoked"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67d8ad58a4a6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18" hidden="0" customWidth="1"/>
    <x:col min="9" max="9" width="17" hidden="0" customWidth="1"/>
    <x:col min="10" max="10" width="30" hidden="0" customWidth="1"/>
    <x:col min="11" max="11" width="42" hidden="0" customWidth="1"/>
    <x:col min="12" max="12" width="48" hidden="0" customWidth="1"/>
  </x:cols>
  <x:sheetData>
    <x:row r="1" ht="30" customHeight="1">
      <x:c r="A1" s="3" t="str">
        <x:v>Operation-level tool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8" t="str">
        <x:v>Unknown is not supported. Record the supported alternative and ownership for every operation the selected provider cannot safely manage.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 ht="32" customHeight="1">
      <x:c r="A5" s="19" t="str">
        <x:v>Track</x:v>
      </x:c>
      <x:c r="B5" s="19" t="str">
        <x:v>Native resource scope</x:v>
      </x:c>
      <x:c r="C5" s="19" t="str">
        <x:v>Owner role</x:v>
      </x:c>
      <x:c r="D5" s="19" t="str">
        <x:v>Observe</x:v>
      </x:c>
      <x:c r="E5" s="19" t="str">
        <x:v>Create</x:v>
      </x:c>
      <x:c r="F5" s="19" t="str">
        <x:v>Update</x:v>
      </x:c>
      <x:c r="G5" s="19" t="str">
        <x:v>Adopt / import</x:v>
      </x:c>
      <x:c r="H5" s="19" t="str">
        <x:v>Replace</x:v>
      </x:c>
      <x:c r="I5" s="19" t="str">
        <x:v>Delete</x:v>
      </x:c>
      <x:c r="J5" s="19" t="str">
        <x:v>Unknown outcome recovery</x:v>
      </x:c>
      <x:c r="K5" s="19" t="str">
        <x:v>Tool / tuple / source</x:v>
      </x:c>
      <x:c r="L5" s="19" t="str">
        <x:v>Accepted alternative / limitation</x:v>
      </x:c>
    </x:row>
    <x:row r="6" ht="38" customHeight="1">
      <x:c r="A6" s="14" t="str">
        <x:v>Nutanix</x:v>
      </x:c>
      <x:c r="B6" s="14" t="str">
        <x:v>VPC / external attachment / route</x:v>
      </x:c>
      <x:c r="C6" s="14" t="str">
        <x:v>Platform/network</x:v>
      </x:c>
      <x:c r="D6" s="22" t="str">
        <x:v>Unknown</x:v>
      </x:c>
      <x:c r="E6" s="22" t="str">
        <x:v>Unknown</x:v>
      </x:c>
      <x:c r="F6" s="22" t="str">
        <x:v>Unknown</x:v>
      </x:c>
      <x:c r="G6" s="22" t="str">
        <x:v>Unknown</x:v>
      </x:c>
      <x:c r="H6" s="22" t="str">
        <x:v>Unknown</x:v>
      </x:c>
      <x:c r="I6" s="22" t="str">
        <x:v>Unknown</x:v>
      </x:c>
      <x:c r="J6" s="22" t="str">
        <x:v>Unknown</x:v>
      </x:c>
      <x:c r="K6" s="22" t="str"/>
      <x:c r="L6" s="22" t="str"/>
    </x:row>
    <x:row r="7" ht="38" customHeight="1">
      <x:c r="A7" s="14" t="str">
        <x:v>Nutanix</x:v>
      </x:c>
      <x:c r="B7" s="14" t="str">
        <x:v>Security policy / categories</x:v>
      </x:c>
      <x:c r="C7" s="14" t="str">
        <x:v>Platform/security</x:v>
      </x:c>
      <x:c r="D7" s="22" t="str">
        <x:v>Unknown</x:v>
      </x:c>
      <x:c r="E7" s="22" t="str">
        <x:v>Unknown</x:v>
      </x:c>
      <x:c r="F7" s="22" t="str">
        <x:v>Unknown</x:v>
      </x:c>
      <x:c r="G7" s="22" t="str">
        <x:v>Unknown</x:v>
      </x:c>
      <x:c r="H7" s="22" t="str">
        <x:v>Unknown</x:v>
      </x:c>
      <x:c r="I7" s="22" t="str">
        <x:v>Unknown</x:v>
      </x:c>
      <x:c r="J7" s="22" t="str">
        <x:v>Unknown</x:v>
      </x:c>
      <x:c r="K7" s="22" t="str"/>
      <x:c r="L7" s="22" t="str"/>
    </x:row>
    <x:row r="8" ht="38" customHeight="1">
      <x:c r="A8" s="14" t="str">
        <x:v>Nutanix</x:v>
      </x:c>
      <x:c r="B8" s="14" t="str">
        <x:v>VM / disk / placement</x:v>
      </x:c>
      <x:c r="C8" s="14" t="str">
        <x:v>Platform</x:v>
      </x:c>
      <x:c r="D8" s="22" t="str">
        <x:v>Unknown</x:v>
      </x:c>
      <x:c r="E8" s="22" t="str">
        <x:v>Unknown</x:v>
      </x:c>
      <x:c r="F8" s="22" t="str">
        <x:v>Unknown</x:v>
      </x:c>
      <x:c r="G8" s="22" t="str">
        <x:v>Unknown</x:v>
      </x:c>
      <x:c r="H8" s="22" t="str">
        <x:v>Unknown</x:v>
      </x:c>
      <x:c r="I8" s="22" t="str">
        <x:v>Unknown</x:v>
      </x:c>
      <x:c r="J8" s="22" t="str">
        <x:v>Unknown</x:v>
      </x:c>
      <x:c r="K8" s="22" t="str"/>
      <x:c r="L8" s="22" t="str"/>
    </x:row>
    <x:row r="9" ht="38" customHeight="1">
      <x:c r="A9" s="14" t="str">
        <x:v>vSphere</x:v>
      </x:c>
      <x:c r="B9" s="14" t="str">
        <x:v>VM / disk / placement</x:v>
      </x:c>
      <x:c r="C9" s="14" t="str">
        <x:v>Platform</x:v>
      </x:c>
      <x:c r="D9" s="22" t="str">
        <x:v>Unknown</x:v>
      </x:c>
      <x:c r="E9" s="22" t="str">
        <x:v>Unknown</x:v>
      </x:c>
      <x:c r="F9" s="22" t="str">
        <x:v>Unknown</x:v>
      </x:c>
      <x:c r="G9" s="22" t="str">
        <x:v>Unknown</x:v>
      </x:c>
      <x:c r="H9" s="22" t="str">
        <x:v>Unknown</x:v>
      </x:c>
      <x:c r="I9" s="22" t="str">
        <x:v>Unknown</x:v>
      </x:c>
      <x:c r="J9" s="22" t="str">
        <x:v>Unknown</x:v>
      </x:c>
      <x:c r="K9" s="22" t="str"/>
      <x:c r="L9" s="22" t="str"/>
    </x:row>
    <x:row r="10" ht="38" customHeight="1">
      <x:c r="A10" s="14" t="str">
        <x:v>NSX</x:v>
      </x:c>
      <x:c r="B10" s="14" t="str">
        <x:v>Segment / gateway / routing</x:v>
      </x:c>
      <x:c r="C10" s="14" t="str">
        <x:v>Platform/network</x:v>
      </x:c>
      <x:c r="D10" s="22" t="str">
        <x:v>Unknown</x:v>
      </x:c>
      <x:c r="E10" s="22" t="str">
        <x:v>Unknown</x:v>
      </x:c>
      <x:c r="F10" s="22" t="str">
        <x:v>Unknown</x:v>
      </x:c>
      <x:c r="G10" s="22" t="str">
        <x:v>Unknown</x:v>
      </x:c>
      <x:c r="H10" s="22" t="str">
        <x:v>Unknown</x:v>
      </x:c>
      <x:c r="I10" s="22" t="str">
        <x:v>Unknown</x:v>
      </x:c>
      <x:c r="J10" s="22" t="str">
        <x:v>Unknown</x:v>
      </x:c>
      <x:c r="K10" s="22" t="str"/>
      <x:c r="L10" s="22" t="str"/>
    </x:row>
    <x:row r="11" ht="38" customHeight="1">
      <x:c r="A11" s="14" t="str">
        <x:v>NSX</x:v>
      </x:c>
      <x:c r="B11" s="14" t="str">
        <x:v>Mandatory groups / policies</x:v>
      </x:c>
      <x:c r="C11" s="14" t="str">
        <x:v>Platform/security</x:v>
      </x:c>
      <x:c r="D11" s="22" t="str">
        <x:v>Unknown</x:v>
      </x:c>
      <x:c r="E11" s="22" t="str">
        <x:v>Unknown</x:v>
      </x:c>
      <x:c r="F11" s="22" t="str">
        <x:v>Unknown</x:v>
      </x:c>
      <x:c r="G11" s="22" t="str">
        <x:v>Unknown</x:v>
      </x:c>
      <x:c r="H11" s="22" t="str">
        <x:v>Unknown</x:v>
      </x:c>
      <x:c r="I11" s="22" t="str">
        <x:v>Unknown</x:v>
      </x:c>
      <x:c r="J11" s="22" t="str">
        <x:v>Unknown</x:v>
      </x:c>
      <x:c r="K11" s="22" t="str"/>
      <x:c r="L11" s="22" t="str"/>
    </x:row>
    <x:row r="12" ht="38" customHeight="1">
      <x:c r="A12" s="14" t="str">
        <x:v>OpenStack</x:v>
      </x:c>
      <x:c r="B12" s="14" t="str">
        <x:v>Project / identity / quota</x:v>
      </x:c>
      <x:c r="C12" s="14" t="str">
        <x:v>Cloud identity</x:v>
      </x:c>
      <x:c r="D12" s="22" t="str">
        <x:v>Unknown</x:v>
      </x:c>
      <x:c r="E12" s="22" t="str">
        <x:v>Unknown</x:v>
      </x:c>
      <x:c r="F12" s="22" t="str">
        <x:v>Unknown</x:v>
      </x:c>
      <x:c r="G12" s="22" t="str">
        <x:v>Unknown</x:v>
      </x:c>
      <x:c r="H12" s="22" t="str">
        <x:v>Unknown</x:v>
      </x:c>
      <x:c r="I12" s="22" t="str">
        <x:v>Unknown</x:v>
      </x:c>
      <x:c r="J12" s="22" t="str">
        <x:v>Unknown</x:v>
      </x:c>
      <x:c r="K12" s="22" t="str"/>
      <x:c r="L12" s="22" t="str"/>
    </x:row>
    <x:row r="13" ht="38" customHeight="1">
      <x:c r="A13" s="14" t="str">
        <x:v>OpenStack</x:v>
      </x:c>
      <x:c r="B13" s="14" t="str">
        <x:v>Router / subnet / port</x:v>
      </x:c>
      <x:c r="C13" s="14" t="str">
        <x:v>Cloud network</x:v>
      </x:c>
      <x:c r="D13" s="22" t="str">
        <x:v>Unknown</x:v>
      </x:c>
      <x:c r="E13" s="22" t="str">
        <x:v>Unknown</x:v>
      </x:c>
      <x:c r="F13" s="22" t="str">
        <x:v>Unknown</x:v>
      </x:c>
      <x:c r="G13" s="22" t="str">
        <x:v>Unknown</x:v>
      </x:c>
      <x:c r="H13" s="22" t="str">
        <x:v>Unknown</x:v>
      </x:c>
      <x:c r="I13" s="22" t="str">
        <x:v>Unknown</x:v>
      </x:c>
      <x:c r="J13" s="22" t="str">
        <x:v>Unknown</x:v>
      </x:c>
      <x:c r="K13" s="22" t="str"/>
      <x:c r="L13" s="22" t="str"/>
    </x:row>
    <x:row r="14" ht="38" customHeight="1">
      <x:c r="A14" s="14" t="str">
        <x:v>OpenStack</x:v>
      </x:c>
      <x:c r="B14" s="14" t="str">
        <x:v>Mandatory security / port settings</x:v>
      </x:c>
      <x:c r="C14" s="14" t="str">
        <x:v>Cloud security</x:v>
      </x:c>
      <x:c r="D14" s="22" t="str">
        <x:v>Unknown</x:v>
      </x:c>
      <x:c r="E14" s="22" t="str">
        <x:v>Unknown</x:v>
      </x:c>
      <x:c r="F14" s="22" t="str">
        <x:v>Unknown</x:v>
      </x:c>
      <x:c r="G14" s="22" t="str">
        <x:v>Unknown</x:v>
      </x:c>
      <x:c r="H14" s="22" t="str">
        <x:v>Unknown</x:v>
      </x:c>
      <x:c r="I14" s="22" t="str">
        <x:v>Unknown</x:v>
      </x:c>
      <x:c r="J14" s="22" t="str">
        <x:v>Unknown</x:v>
      </x:c>
      <x:c r="K14" s="22" t="str"/>
      <x:c r="L14" s="22" t="str"/>
    </x:row>
    <x:row r="15" ht="38" customHeight="1">
      <x:c r="A15" s="14" t="str">
        <x:v>OpenStack</x:v>
      </x:c>
      <x:c r="B15" s="14" t="str">
        <x:v>Instance / volume / image</x:v>
      </x:c>
      <x:c r="C15" s="14" t="str">
        <x:v>Cloud compute/data</x:v>
      </x:c>
      <x:c r="D15" s="22" t="str">
        <x:v>Unknown</x:v>
      </x:c>
      <x:c r="E15" s="22" t="str">
        <x:v>Unknown</x:v>
      </x:c>
      <x:c r="F15" s="22" t="str">
        <x:v>Unknown</x:v>
      </x:c>
      <x:c r="G15" s="22" t="str">
        <x:v>Unknown</x:v>
      </x:c>
      <x:c r="H15" s="22" t="str">
        <x:v>Unknown</x:v>
      </x:c>
      <x:c r="I15" s="22" t="str">
        <x:v>Unknown</x:v>
      </x:c>
      <x:c r="J15" s="22" t="str">
        <x:v>Unknown</x:v>
      </x:c>
      <x:c r="K15" s="22" t="str"/>
      <x:c r="L15" s="22" t="str"/>
    </x:row>
    <x:row r="16" ht="38" customHeight="1">
      <x:c r="A16" s="14" t="str">
        <x:v>Shared</x:v>
      </x:c>
      <x:c r="B16" s="14" t="str">
        <x:v>ZIP context / route / policy</x:v>
      </x:c>
      <x:c r="C16" s="14" t="str">
        <x:v>Security edge</x:v>
      </x:c>
      <x:c r="D16" s="22" t="str">
        <x:v>Unknown</x:v>
      </x:c>
      <x:c r="E16" s="22" t="str">
        <x:v>Unknown</x:v>
      </x:c>
      <x:c r="F16" s="22" t="str">
        <x:v>Unknown</x:v>
      </x:c>
      <x:c r="G16" s="22" t="str">
        <x:v>Unknown</x:v>
      </x:c>
      <x:c r="H16" s="22" t="str">
        <x:v>Unknown</x:v>
      </x:c>
      <x:c r="I16" s="22" t="str">
        <x:v>Unknown</x:v>
      </x:c>
      <x:c r="J16" s="22" t="str">
        <x:v>Unknown</x:v>
      </x:c>
      <x:c r="K16" s="22" t="str"/>
      <x:c r="L16" s="22" t="str"/>
    </x:row>
    <x:row r="17" ht="38" customHeight="1">
      <x:c r="A17" s="14" t="str">
        <x:v>Shared</x:v>
      </x:c>
      <x:c r="B17" s="14" t="str">
        <x:v>IPAM / DNS</x:v>
      </x:c>
      <x:c r="C17" s="14" t="str">
        <x:v>Network services</x:v>
      </x:c>
      <x:c r="D17" s="22" t="str">
        <x:v>Unknown</x:v>
      </x:c>
      <x:c r="E17" s="22" t="str">
        <x:v>Unknown</x:v>
      </x:c>
      <x:c r="F17" s="22" t="str">
        <x:v>Unknown</x:v>
      </x:c>
      <x:c r="G17" s="22" t="str">
        <x:v>Unknown</x:v>
      </x:c>
      <x:c r="H17" s="22" t="str">
        <x:v>Unknown</x:v>
      </x:c>
      <x:c r="I17" s="22" t="str">
        <x:v>Unknown</x:v>
      </x:c>
      <x:c r="J17" s="22" t="str">
        <x:v>Unknown</x:v>
      </x:c>
      <x:c r="K17" s="22" t="str"/>
      <x:c r="L17" s="22" t="str"/>
    </x:row>
    <x:row r="18" ht="38" customHeight="1">
      <x:c r="A18" s="14" t="str">
        <x:v>Shared</x:v>
      </x:c>
      <x:c r="B18" s="14" t="str">
        <x:v>Backup / retention / restore</x:v>
      </x:c>
      <x:c r="C18" s="14" t="str">
        <x:v>Backup</x:v>
      </x:c>
      <x:c r="D18" s="22" t="str">
        <x:v>Unknown</x:v>
      </x:c>
      <x:c r="E18" s="22" t="str">
        <x:v>Unknown</x:v>
      </x:c>
      <x:c r="F18" s="22" t="str">
        <x:v>Unknown</x:v>
      </x:c>
      <x:c r="G18" s="22" t="str">
        <x:v>Unknown</x:v>
      </x:c>
      <x:c r="H18" s="22" t="str">
        <x:v>Unknown</x:v>
      </x:c>
      <x:c r="I18" s="22" t="str">
        <x:v>Unknown</x:v>
      </x:c>
      <x:c r="J18" s="22" t="str">
        <x:v>Unknown</x:v>
      </x:c>
      <x:c r="K18" s="22" t="str"/>
      <x:c r="L18" s="22" t="str"/>
    </x:row>
    <x:row r="19" ht="38" customHeight="1">
      <x:c r="A19" s="14" t="str">
        <x:v>Shared</x:v>
      </x:c>
      <x:c r="B19" s="14" t="str">
        <x:v>Keys / certificates / identity</x:v>
      </x:c>
      <x:c r="C19" s="14" t="str">
        <x:v>Trust</x:v>
      </x:c>
      <x:c r="D19" s="22" t="str">
        <x:v>Unknown</x:v>
      </x:c>
      <x:c r="E19" s="22" t="str">
        <x:v>Unknown</x:v>
      </x:c>
      <x:c r="F19" s="22" t="str">
        <x:v>Unknown</x:v>
      </x:c>
      <x:c r="G19" s="22" t="str">
        <x:v>Unknown</x:v>
      </x:c>
      <x:c r="H19" s="22" t="str">
        <x:v>Unknown</x:v>
      </x:c>
      <x:c r="I19" s="22" t="str">
        <x:v>Unknown</x:v>
      </x:c>
      <x:c r="J19" s="22" t="str">
        <x:v>Unknown</x:v>
      </x:c>
      <x:c r="K19" s="22" t="str"/>
      <x:c r="L19" s="22" t="str"/>
    </x:row>
    <x:row r="20" ht="38" customHeight="1">
      <x:c r="A20" s="14" t="str">
        <x:v>Fabric</x:v>
      </x:c>
      <x:c r="B20" s="14" t="str">
        <x:v>Underlay / EVPN / attachment</x:v>
      </x:c>
      <x:c r="C20" s="14" t="str">
        <x:v>Network</x:v>
      </x:c>
      <x:c r="D20" s="22" t="str">
        <x:v>Unknown</x:v>
      </x:c>
      <x:c r="E20" s="22" t="str">
        <x:v>Unknown</x:v>
      </x:c>
      <x:c r="F20" s="22" t="str">
        <x:v>Unknown</x:v>
      </x:c>
      <x:c r="G20" s="22" t="str">
        <x:v>Unknown</x:v>
      </x:c>
      <x:c r="H20" s="22" t="str">
        <x:v>Unknown</x:v>
      </x:c>
      <x:c r="I20" s="22" t="str">
        <x:v>Unknown</x:v>
      </x:c>
      <x:c r="J20" s="22" t="str">
        <x:v>Unknown</x:v>
      </x:c>
      <x:c r="K20" s="22" t="str"/>
      <x:c r="L20" s="22" t="str"/>
    </x:row>
  </x:sheetData>
  <x:mergeCells>
    <x:mergeCell ref="A1:L1"/>
    <x:mergeCell ref="A2:L3"/>
  </x:mergeCells>
  <x:conditionalFormatting sqref="D6:D20">
    <x:cfRule type="expression" dxfId="12" priority="1">
      <x:formula>D6="Blocked"</x:formula>
    </x:cfRule>
    <x:cfRule type="expression" dxfId="13" priority="2">
      <x:formula>D6="Failed"</x:formula>
    </x:cfRule>
  </x:conditionalFormatting>
  <x:conditionalFormatting sqref="E6:E20">
    <x:cfRule type="expression" dxfId="14" priority="3">
      <x:formula>E6="Blocked"</x:formula>
    </x:cfRule>
    <x:cfRule type="expression" dxfId="15" priority="4">
      <x:formula>E6="Failed"</x:formula>
    </x:cfRule>
  </x:conditionalFormatting>
  <x:conditionalFormatting sqref="F6:F20">
    <x:cfRule type="expression" dxfId="16" priority="5">
      <x:formula>F6="Blocked"</x:formula>
    </x:cfRule>
    <x:cfRule type="expression" dxfId="17" priority="6">
      <x:formula>F6="Failed"</x:formula>
    </x:cfRule>
  </x:conditionalFormatting>
  <x:conditionalFormatting sqref="G6:G20">
    <x:cfRule type="expression" dxfId="18" priority="7">
      <x:formula>G6="Blocked"</x:formula>
    </x:cfRule>
    <x:cfRule type="expression" dxfId="19" priority="8">
      <x:formula>G6="Failed"</x:formula>
    </x:cfRule>
  </x:conditionalFormatting>
  <x:conditionalFormatting sqref="H6:H20">
    <x:cfRule type="expression" dxfId="20" priority="9">
      <x:formula>H6="Blocked"</x:formula>
    </x:cfRule>
    <x:cfRule type="expression" dxfId="21" priority="10">
      <x:formula>H6="Failed"</x:formula>
    </x:cfRule>
  </x:conditionalFormatting>
  <x:conditionalFormatting sqref="I6:I20">
    <x:cfRule type="expression" dxfId="22" priority="11">
      <x:formula>I6="Blocked"</x:formula>
    </x:cfRule>
    <x:cfRule type="expression" dxfId="23" priority="12">
      <x:formula>I6="Failed"</x:formula>
    </x:cfRule>
  </x:conditionalFormatting>
  <x:conditionalFormatting sqref="J6:J20">
    <x:cfRule type="expression" dxfId="24" priority="13">
      <x:formula>J6="Blocked"</x:formula>
    </x:cfRule>
    <x:cfRule type="expression" dxfId="25" priority="14">
      <x:formula>J6="Failed"</x:formula>
    </x:cfRule>
  </x:conditionalFormatting>
  <x:dataValidations count="7">
    <x:dataValidation type="list" sqref="D6:D20">
      <x:formula1>"Unknown,Supported - evidence linked,Native owner,Unsupported,Not applicable"</x:formula1>
    </x:dataValidation>
    <x:dataValidation type="list" sqref="E6:E20">
      <x:formula1>"Unknown,Supported - evidence linked,Native owner,Unsupported,Not applicable"</x:formula1>
    </x:dataValidation>
    <x:dataValidation type="list" sqref="F6:F20">
      <x:formula1>"Unknown,Supported - evidence linked,Native owner,Unsupported,Not applicable"</x:formula1>
    </x:dataValidation>
    <x:dataValidation type="list" sqref="G6:G20">
      <x:formula1>"Unknown,Supported - evidence linked,Native owner,Unsupported,Not applicable"</x:formula1>
    </x:dataValidation>
    <x:dataValidation type="list" sqref="H6:H20">
      <x:formula1>"Unknown,Supported - evidence linked,Native owner,Unsupported,Not applicable"</x:formula1>
    </x:dataValidation>
    <x:dataValidation type="list" sqref="I6:I20">
      <x:formula1>"Unknown,Supported - evidence linked,Native owner,Unsupported,Not applicable"</x:formula1>
    </x:dataValidation>
    <x:dataValidation type="list" sqref="J6:J20">
      <x:formula1>"Unknown,Supported - evidence linked,Native owner,Unsupported,Not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5b9c569b55472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27" hidden="0" customWidth="1"/>
    <x:col min="8" max="8" width="25" hidden="0" customWidth="1"/>
    <x:col min="9" max="9" width="46" hidden="0" customWidth="1"/>
  </x:cols>
  <x:sheetData>
    <x:row r="1" ht="30" customHeight="1">
      <x:c r="A1" s="3" t="str">
        <x:v>Actual survivor-capacity admission calculation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ACTUAL INPUTS REQUIRED • Use the same measured failure scenario and units in every row. Existing commitment is not utilization plus reservation counted twice. Formula results are arithmetic only, not service authorization.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Resource dimension</x:v>
      </x:c>
      <x:c r="B5" s="19" t="str">
        <x:v>Unit</x:v>
      </x:c>
      <x:c r="C5" s="19" t="str">
        <x:v>Surviving qualified capacity</x:v>
      </x:c>
      <x:c r="D5" s="19" t="str">
        <x:v>Operational reserve</x:v>
      </x:c>
      <x:c r="E5" s="19" t="str">
        <x:v>Existing commitment</x:v>
      </x:c>
      <x:c r="F5" s="19" t="str">
        <x:v>Proposed increment</x:v>
      </x:c>
      <x:c r="G5" s="19" t="str">
        <x:v>Headroom after allocation</x:v>
      </x:c>
      <x:c r="H5" s="19" t="str">
        <x:v>Arithmetic result</x:v>
      </x:c>
      <x:c r="I5" s="19" t="str">
        <x:v>Failure scenario / evidence</x:v>
      </x:c>
    </x:row>
    <x:row r="6" ht="38" customHeight="1">
      <x:c r="A6" s="14" t="str">
        <x:v>Memory</x:v>
      </x:c>
      <x:c r="B6" s="14" t="str">
        <x:v>GiB</x:v>
      </x:c>
      <x:c r="C6" s="24"/>
      <x:c r="D6" s="24"/>
      <x:c r="E6" s="24"/>
      <x:c r="F6" s="24"/>
      <x:c r="G6" s="25" t="str">
        <x:f>IF(COUNT(C6:F6)&lt;4,"INPUT REQUIRED",C6-D6-E6-F6)</x:f>
        <x:v>INPUT REQUIRED</x:v>
      </x:c>
      <x:c r="H6" s="14" t="str">
        <x:f>IF(COUNT(C6:F6)&lt;4,"INPUT REQUIRED",IF(MIN(C6:F6)&lt;0,"INVALID INPUT",IF(G6&lt;0,"EXCEEDS CAPACITY","WITHIN MODEL")))</x:f>
        <x:v>INPUT REQUIRED</x:v>
      </x:c>
      <x:c r="I6" s="22" t="str"/>
    </x:row>
    <x:row r="7" ht="38" customHeight="1">
      <x:c r="A7" s="14" t="str">
        <x:v>Compute guarantee</x:v>
      </x:c>
      <x:c r="B7" s="14" t="str">
        <x:v>vCPU-equivalent</x:v>
      </x:c>
      <x:c r="C7" s="24"/>
      <x:c r="D7" s="24"/>
      <x:c r="E7" s="24"/>
      <x:c r="F7" s="24"/>
      <x:c r="G7" s="25" t="str">
        <x:f>IF(COUNT(C7:F7)&lt;4,"INPUT REQUIRED",C7-D7-E7-F7)</x:f>
        <x:v>INPUT REQUIRED</x:v>
      </x:c>
      <x:c r="H7" s="14" t="str">
        <x:f>IF(COUNT(C7:F7)&lt;4,"INPUT REQUIRED",IF(MIN(C7:F7)&lt;0,"INVALID INPUT",IF(G7&lt;0,"EXCEEDS CAPACITY","WITHIN MODEL")))</x:f>
        <x:v>INPUT REQUIRED</x:v>
      </x:c>
      <x:c r="I7" s="22" t="str"/>
    </x:row>
    <x:row r="8" ht="38" customHeight="1">
      <x:c r="A8" s="14" t="str">
        <x:v>Usable storage</x:v>
      </x:c>
      <x:c r="B8" s="14" t="str">
        <x:v>GiB</x:v>
      </x:c>
      <x:c r="C8" s="24"/>
      <x:c r="D8" s="24"/>
      <x:c r="E8" s="24"/>
      <x:c r="F8" s="24"/>
      <x:c r="G8" s="25" t="str">
        <x:f>IF(COUNT(C8:F8)&lt;4,"INPUT REQUIRED",C8-D8-E8-F8)</x:f>
        <x:v>INPUT REQUIRED</x:v>
      </x:c>
      <x:c r="H8" s="14" t="str">
        <x:f>IF(COUNT(C8:F8)&lt;4,"INPUT REQUIRED",IF(MIN(C8:F8)&lt;0,"INVALID INPUT",IF(G8&lt;0,"EXCEEDS CAPACITY","WITHIN MODEL")))</x:f>
        <x:v>INPUT REQUIRED</x:v>
      </x:c>
      <x:c r="I8" s="22" t="str"/>
    </x:row>
    <x:row r="9" ht="38" customHeight="1">
      <x:c r="A9" s="14" t="str">
        <x:v>Inspected throughput</x:v>
      </x:c>
      <x:c r="B9" s="14" t="str">
        <x:v>Gbps</x:v>
      </x:c>
      <x:c r="C9" s="24"/>
      <x:c r="D9" s="24"/>
      <x:c r="E9" s="24"/>
      <x:c r="F9" s="24"/>
      <x:c r="G9" s="25" t="str">
        <x:f>IF(COUNT(C9:F9)&lt;4,"INPUT REQUIRED",C9-D9-E9-F9)</x:f>
        <x:v>INPUT REQUIRED</x:v>
      </x:c>
      <x:c r="H9" s="14" t="str">
        <x:f>IF(COUNT(C9:F9)&lt;4,"INPUT REQUIRED",IF(MIN(C9:F9)&lt;0,"INVALID INPUT",IF(G9&lt;0,"EXCEEDS CAPACITY","WITHIN MODEL")))</x:f>
        <x:v>INPUT REQUIRED</x:v>
      </x:c>
      <x:c r="I9" s="22" t="str"/>
    </x:row>
    <x:row r="10" ht="38" customHeight="1">
      <x:c r="A10" s="14" t="str">
        <x:v>Concurrent sessions</x:v>
      </x:c>
      <x:c r="B10" s="14" t="str">
        <x:v>sessions</x:v>
      </x:c>
      <x:c r="C10" s="24"/>
      <x:c r="D10" s="24"/>
      <x:c r="E10" s="24"/>
      <x:c r="F10" s="24"/>
      <x:c r="G10" s="25" t="str">
        <x:f>IF(COUNT(C10:F10)&lt;4,"INPUT REQUIRED",C10-D10-E10-F10)</x:f>
        <x:v>INPUT REQUIRED</x:v>
      </x:c>
      <x:c r="H10" s="14" t="str">
        <x:f>IF(COUNT(C10:F10)&lt;4,"INPUT REQUIRED",IF(MIN(C10:F10)&lt;0,"INVALID INPUT",IF(G10&lt;0,"EXCEEDS CAPACITY","WITHIN MODEL")))</x:f>
        <x:v>INPUT REQUIRED</x:v>
      </x:c>
      <x:c r="I10" s="22" t="str"/>
    </x:row>
    <x:row r="11" ht="38" customHeight="1">
      <x:c r="A11" s="14" t="str">
        <x:v>Attachment capacity</x:v>
      </x:c>
      <x:c r="B11" s="14" t="str">
        <x:v>slots</x:v>
      </x:c>
      <x:c r="C11" s="24"/>
      <x:c r="D11" s="24"/>
      <x:c r="E11" s="24"/>
      <x:c r="F11" s="24"/>
      <x:c r="G11" s="25" t="str">
        <x:f>IF(COUNT(C11:F11)&lt;4,"INPUT REQUIRED",C11-D11-E11-F11)</x:f>
        <x:v>INPUT REQUIRED</x:v>
      </x:c>
      <x:c r="H11" s="14" t="str">
        <x:f>IF(COUNT(C11:F11)&lt;4,"INPUT REQUIRED",IF(MIN(C11:F11)&lt;0,"INVALID INPUT",IF(G11&lt;0,"EXCEEDS CAPACITY","WITHIN MODEL")))</x:f>
        <x:v>INPUT REQUIRED</x:v>
      </x:c>
      <x:c r="I11" s="22" t="str"/>
    </x:row>
    <x:row r="14" ht="28" customHeight="1">
      <x:c r="A14" s="29" t="str">
        <x:v>All-dimension arithmetic screen (not approval)</x:v>
      </x:c>
      <x:c r="B14" s="29"/>
      <x:c r="C14" s="29"/>
      <x:c r="D14" s="29"/>
      <x:c r="E14" s="29"/>
      <x:c r="F14" s="29"/>
      <x:c r="G14" s="29" t="str">
        <x:f>IF(COUNT(C6:F11)&lt;24,"INPUT REQUIRED",IF(COUNTIF(H6:H11,"INVALID INPUT")&gt;0,"INVALID INPUT",IF(COUNTIF(H6:H11,"EXCEEDS CAPACITY")&gt;0,"LIMIT EXCEEDED","WITHIN ENTERED MODEL")))</x:f>
        <x:v>INPUT REQUIRED</x:v>
      </x:c>
      <x:c r="H14" s="29"/>
      <x:c r="I14" s="29"/>
    </x:row>
    <x:row r="16" ht="25" customHeight="1">
      <x:c r="A16" s="32" t="str">
        <x:v>Input evidence must include measured workload/security features, node/rack/site loss, rebuild and maintenance load. This arithmetic does not model correlated failures, oversubscription safety, performance contention or physical product minima.</x:v>
      </x:c>
      <x:c r="B16" s="32"/>
      <x:c r="C16" s="32"/>
      <x:c r="D16" s="32"/>
      <x:c r="E16" s="32"/>
      <x:c r="F16" s="32"/>
      <x:c r="G16" s="32"/>
      <x:c r="H16" s="32"/>
      <x:c r="I16" s="32"/>
    </x:row>
    <x:row r="17" ht="25" customHeight="1">
      <x:c r="A17" s="32"/>
      <x:c r="B17" s="32"/>
      <x:c r="C17" s="32"/>
      <x:c r="D17" s="32"/>
      <x:c r="E17" s="32"/>
      <x:c r="F17" s="32"/>
      <x:c r="G17" s="32"/>
      <x:c r="H17" s="32"/>
      <x:c r="I17" s="32"/>
    </x:row>
  </x:sheetData>
  <x:mergeCells>
    <x:mergeCell ref="A1:I1"/>
    <x:mergeCell ref="A2:I3"/>
    <x:mergeCell ref="A14:F14"/>
    <x:mergeCell ref="G14:I14"/>
    <x:mergeCell ref="A16:I17"/>
  </x:mergeCells>
  <x:conditionalFormatting sqref="G6:G11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3072a0842d46c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3" hidden="0" customWidth="1"/>
    <x:col min="4" max="4" width="22" hidden="0" customWidth="1"/>
    <x:col min="5" max="5" width="25" hidden="0" customWidth="1"/>
    <x:col min="6" max="6" width="24" hidden="0" customWidth="1"/>
    <x:col min="7" max="7" width="26" hidden="0" customWidth="1"/>
    <x:col min="8" max="8" width="26" hidden="0" customWidth="1"/>
    <x:col min="9" max="9" width="21" hidden="0" customWidth="1"/>
    <x:col min="10" max="10" width="23" hidden="0" customWidth="1"/>
    <x:col min="11" max="11" width="18" hidden="0" customWidth="1"/>
    <x:col min="12" max="12" width="25" hidden="0" customWidth="1"/>
    <x:col min="13" max="13" width="43" hidden="0" customWidth="1"/>
  </x:cols>
  <x:sheetData>
    <x:row r="1" ht="30" customHeight="1">
      <x:c r="A1" s="3" t="str">
        <x:v>Actual path MTU budget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0" customHeight="1">
      <x:c r="A2" s="8" t="str">
        <x:v>ACTUAL INPUTS REQUIRED • All dimensions are bytes of the outer IP packet, not link-frame MTU. Enter each actual encapsulation/header and the smallest active/surviving outer-IP path limit. Do not substitute a universal VXLAN figure for Geneve/IPsec.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5" ht="32" customHeight="1">
      <x:c r="A5" s="19" t="str">
        <x:v>Path ID</x:v>
      </x:c>
      <x:c r="B5" s="19" t="str">
        <x:v>Workload IP bytes</x:v>
      </x:c>
      <x:c r="C5" s="19" t="str">
        <x:v>Inner link header bytes</x:v>
      </x:c>
      <x:c r="D5" s="19" t="str">
        <x:v>Tunnel header bytes</x:v>
      </x:c>
      <x:c r="E5" s="19" t="str">
        <x:v>Transport header bytes</x:v>
      </x:c>
      <x:c r="F5" s="19" t="str">
        <x:v>Outer IP header bytes</x:v>
      </x:c>
      <x:c r="G5" s="19" t="str">
        <x:v>Extra tags / options bytes</x:v>
      </x:c>
      <x:c r="H5" s="19" t="str">
        <x:v>Other encapsulation bytes</x:v>
      </x:c>
      <x:c r="I5" s="19" t="str">
        <x:v>Outer IP total</x:v>
      </x:c>
      <x:c r="J5" s="19" t="str">
        <x:v>Path outer-IP limit</x:v>
      </x:c>
      <x:c r="K5" s="19" t="str">
        <x:v>Margin</x:v>
      </x:c>
      <x:c r="L5" s="19" t="str">
        <x:v>Arithmetic result</x:v>
      </x:c>
      <x:c r="M5" s="19" t="str">
        <x:v>Definition / evidence</x:v>
      </x:c>
    </x:row>
    <x:row r="6" ht="38" customHeight="1">
      <x:c r="A6" s="14" t="str">
        <x:v>MTU-01</x:v>
      </x:c>
      <x:c r="B6" s="34"/>
      <x:c r="C6" s="34"/>
      <x:c r="D6" s="34"/>
      <x:c r="E6" s="34"/>
      <x:c r="F6" s="34"/>
      <x:c r="G6" s="34"/>
      <x:c r="H6" s="34"/>
      <x:c r="I6" s="35" t="str">
        <x:f>IF(COUNT(B6:H6)&lt;7,"INPUT REQUIRED",SUM(B6:H6))</x:f>
        <x:v>INPUT REQUIRED</x:v>
      </x:c>
      <x:c r="J6" s="34"/>
      <x:c r="K6" s="35" t="str">
        <x:f>IF(OR(COUNT(B6:H6)&lt;7,COUNT(J6)&lt;1),"INPUT REQUIRED",J6-I6)</x:f>
        <x:v>INPUT REQUIRED</x:v>
      </x:c>
      <x:c r="L6" s="14" t="str">
        <x:f>IF(OR(COUNT(B6:H6)&lt;7,COUNT(J6)&lt;1),"INPUT REQUIRED",IF(OR(MIN(B6:H6)&lt;0,J6&lt;=0,B6&lt;=0),"INVALID INPUT",IF(K6&lt;0,"EXCEEDS PATH","WITHIN MODEL")))</x:f>
        <x:v>INPUT REQUIRED</x:v>
      </x:c>
      <x:c r="M6" s="22" t="str"/>
    </x:row>
    <x:row r="7" ht="38" customHeight="1">
      <x:c r="A7" s="14" t="str">
        <x:v>MTU-02</x:v>
      </x:c>
      <x:c r="B7" s="34"/>
      <x:c r="C7" s="34"/>
      <x:c r="D7" s="34"/>
      <x:c r="E7" s="34"/>
      <x:c r="F7" s="34"/>
      <x:c r="G7" s="34"/>
      <x:c r="H7" s="34"/>
      <x:c r="I7" s="35" t="str">
        <x:f>IF(COUNT(B7:H7)&lt;7,"INPUT REQUIRED",SUM(B7:H7))</x:f>
        <x:v>INPUT REQUIRED</x:v>
      </x:c>
      <x:c r="J7" s="34"/>
      <x:c r="K7" s="35" t="str">
        <x:f>IF(OR(COUNT(B7:H7)&lt;7,COUNT(J7)&lt;1),"INPUT REQUIRED",J7-I7)</x:f>
        <x:v>INPUT REQUIRED</x:v>
      </x:c>
      <x:c r="L7" s="14" t="str">
        <x:f>IF(OR(COUNT(B7:H7)&lt;7,COUNT(J7)&lt;1),"INPUT REQUIRED",IF(OR(MIN(B7:H7)&lt;0,J7&lt;=0,B7&lt;=0),"INVALID INPUT",IF(K7&lt;0,"EXCEEDS PATH","WITHIN MODEL")))</x:f>
        <x:v>INPUT REQUIRED</x:v>
      </x:c>
      <x:c r="M7" s="22" t="str"/>
    </x:row>
    <x:row r="8" ht="38" customHeight="1">
      <x:c r="A8" s="14" t="str">
        <x:v>MTU-03</x:v>
      </x:c>
      <x:c r="B8" s="34"/>
      <x:c r="C8" s="34"/>
      <x:c r="D8" s="34"/>
      <x:c r="E8" s="34"/>
      <x:c r="F8" s="34"/>
      <x:c r="G8" s="34"/>
      <x:c r="H8" s="34"/>
      <x:c r="I8" s="35" t="str">
        <x:f>IF(COUNT(B8:H8)&lt;7,"INPUT REQUIRED",SUM(B8:H8))</x:f>
        <x:v>INPUT REQUIRED</x:v>
      </x:c>
      <x:c r="J8" s="34"/>
      <x:c r="K8" s="35" t="str">
        <x:f>IF(OR(COUNT(B8:H8)&lt;7,COUNT(J8)&lt;1),"INPUT REQUIRED",J8-I8)</x:f>
        <x:v>INPUT REQUIRED</x:v>
      </x:c>
      <x:c r="L8" s="14" t="str">
        <x:f>IF(OR(COUNT(B8:H8)&lt;7,COUNT(J8)&lt;1),"INPUT REQUIRED",IF(OR(MIN(B8:H8)&lt;0,J8&lt;=0,B8&lt;=0),"INVALID INPUT",IF(K8&lt;0,"EXCEEDS PATH","WITHIN MODEL")))</x:f>
        <x:v>INPUT REQUIRED</x:v>
      </x:c>
      <x:c r="M8" s="22" t="str"/>
    </x:row>
    <x:row r="9" ht="38" customHeight="1">
      <x:c r="A9" s="14" t="str">
        <x:v>MTU-04</x:v>
      </x:c>
      <x:c r="B9" s="34"/>
      <x:c r="C9" s="34"/>
      <x:c r="D9" s="34"/>
      <x:c r="E9" s="34"/>
      <x:c r="F9" s="34"/>
      <x:c r="G9" s="34"/>
      <x:c r="H9" s="34"/>
      <x:c r="I9" s="35" t="str">
        <x:f>IF(COUNT(B9:H9)&lt;7,"INPUT REQUIRED",SUM(B9:H9))</x:f>
        <x:v>INPUT REQUIRED</x:v>
      </x:c>
      <x:c r="J9" s="34"/>
      <x:c r="K9" s="35" t="str">
        <x:f>IF(OR(COUNT(B9:H9)&lt;7,COUNT(J9)&lt;1),"INPUT REQUIRED",J9-I9)</x:f>
        <x:v>INPUT REQUIRED</x:v>
      </x:c>
      <x:c r="L9" s="14" t="str">
        <x:f>IF(OR(COUNT(B9:H9)&lt;7,COUNT(J9)&lt;1),"INPUT REQUIRED",IF(OR(MIN(B9:H9)&lt;0,J9&lt;=0,B9&lt;=0),"INVALID INPUT",IF(K9&lt;0,"EXCEEDS PATH","WITHIN MODEL")))</x:f>
        <x:v>INPUT REQUIRED</x:v>
      </x:c>
      <x:c r="M9" s="22" t="str"/>
    </x:row>
    <x:row r="10" ht="38" customHeight="1">
      <x:c r="A10" s="14" t="str">
        <x:v>MTU-05</x:v>
      </x:c>
      <x:c r="B10" s="34"/>
      <x:c r="C10" s="34"/>
      <x:c r="D10" s="34"/>
      <x:c r="E10" s="34"/>
      <x:c r="F10" s="34"/>
      <x:c r="G10" s="34"/>
      <x:c r="H10" s="34"/>
      <x:c r="I10" s="35" t="str">
        <x:f>IF(COUNT(B10:H10)&lt;7,"INPUT REQUIRED",SUM(B10:H10))</x:f>
        <x:v>INPUT REQUIRED</x:v>
      </x:c>
      <x:c r="J10" s="34"/>
      <x:c r="K10" s="35" t="str">
        <x:f>IF(OR(COUNT(B10:H10)&lt;7,COUNT(J10)&lt;1),"INPUT REQUIRED",J10-I10)</x:f>
        <x:v>INPUT REQUIRED</x:v>
      </x:c>
      <x:c r="L10" s="14" t="str">
        <x:f>IF(OR(COUNT(B10:H10)&lt;7,COUNT(J10)&lt;1),"INPUT REQUIRED",IF(OR(MIN(B10:H10)&lt;0,J10&lt;=0,B10&lt;=0),"INVALID INPUT",IF(K10&lt;0,"EXCEEDS PATH","WITHIN MODEL")))</x:f>
        <x:v>INPUT REQUIRED</x:v>
      </x:c>
      <x:c r="M10" s="22" t="str"/>
    </x:row>
    <x:row r="11" ht="38" customHeight="1">
      <x:c r="A11" s="14" t="str">
        <x:v>MTU-06</x:v>
      </x:c>
      <x:c r="B11" s="34"/>
      <x:c r="C11" s="34"/>
      <x:c r="D11" s="34"/>
      <x:c r="E11" s="34"/>
      <x:c r="F11" s="34"/>
      <x:c r="G11" s="34"/>
      <x:c r="H11" s="34"/>
      <x:c r="I11" s="35" t="str">
        <x:f>IF(COUNT(B11:H11)&lt;7,"INPUT REQUIRED",SUM(B11:H11))</x:f>
        <x:v>INPUT REQUIRED</x:v>
      </x:c>
      <x:c r="J11" s="34"/>
      <x:c r="K11" s="35" t="str">
        <x:f>IF(OR(COUNT(B11:H11)&lt;7,COUNT(J11)&lt;1),"INPUT REQUIRED",J11-I11)</x:f>
        <x:v>INPUT REQUIRED</x:v>
      </x:c>
      <x:c r="L11" s="14" t="str">
        <x:f>IF(OR(COUNT(B11:H11)&lt;7,COUNT(J11)&lt;1),"INPUT REQUIRED",IF(OR(MIN(B11:H11)&lt;0,J11&lt;=0,B11&lt;=0),"INVALID INPUT",IF(K11&lt;0,"EXCEEDS PATH","WITHIN MODEL")))</x:f>
        <x:v>INPUT REQUIRED</x:v>
      </x:c>
      <x:c r="M11" s="22" t="str"/>
    </x:row>
  </x:sheetData>
  <x:mergeCells>
    <x:mergeCell ref="A1:M1"/>
    <x:mergeCell ref="A2:M3"/>
  </x:mergeCells>
  <x:conditionalFormatting sqref="K6:K11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10470a542744c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15" hidden="0" customWidth="1"/>
    <x:col min="4" max="4" width="21" hidden="0" customWidth="1"/>
    <x:col min="5" max="5" width="19" hidden="0" customWidth="1"/>
    <x:col min="6" max="6" width="19" hidden="0" customWidth="1"/>
    <x:col min="7" max="7" width="18" hidden="0" customWidth="1"/>
    <x:col min="8" max="8" width="23" hidden="0" customWidth="1"/>
    <x:col min="9" max="9" width="28" hidden="0" customWidth="1"/>
  </x:cols>
  <x:sheetData>
    <x:row r="1" ht="30" customHeight="1">
      <x:c r="A1" s="3" t="str">
        <x:v>EXAMPLE ONLY | fixture demand and independent probe plan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WD v1.4 §11 • These are requested guest resources, not actual site allocations, platform minima, raw storage, licensed capacity or total provider demand. Derived values are formulas.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Endpoint role</x:v>
      </x:c>
      <x:c r="B5" s="19" t="str">
        <x:v>Count</x:v>
      </x:c>
      <x:c r="C5" s="19" t="str">
        <x:v>vCPU each</x:v>
      </x:c>
      <x:c r="D5" s="19" t="str">
        <x:v>Memory GiB each</x:v>
      </x:c>
      <x:c r="E5" s="19" t="str">
        <x:v>Boot GiB each</x:v>
      </x:c>
      <x:c r="F5" s="19" t="str">
        <x:v>Data GiB each</x:v>
      </x:c>
      <x:c r="G5" s="19" t="str">
        <x:v>Total vCPU</x:v>
      </x:c>
      <x:c r="H5" s="19" t="str">
        <x:v>Total memory GiB</x:v>
      </x:c>
      <x:c r="I5" s="19" t="str">
        <x:v>Total virtual disk GiB</x:v>
      </x:c>
    </x:row>
    <x:row r="6" ht="38" customHeight="1">
      <x:c r="A6" s="14" t="str">
        <x:v>Processors</x:v>
      </x:c>
      <x:c r="B6" s="22" t="n">
        <x:v>2</x:v>
      </x:c>
      <x:c r="C6" s="22" t="n">
        <x:v>2</x:v>
      </x:c>
      <x:c r="D6" s="22" t="n">
        <x:v>4</x:v>
      </x:c>
      <x:c r="E6" s="22" t="n">
        <x:v>40</x:v>
      </x:c>
      <x:c r="F6" s="22" t="n">
        <x:v>0</x:v>
      </x:c>
      <x:c r="G6" s="14" t="n">
        <x:f>B6*C6</x:f>
        <x:v>4</x:v>
      </x:c>
      <x:c r="H6" s="14" t="n">
        <x:f>B6*D6</x:f>
        <x:v>8</x:v>
      </x:c>
      <x:c r="I6" s="14" t="n">
        <x:f>B6*(E6+F6)</x:f>
        <x:v>80</x:v>
      </x:c>
    </x:row>
    <x:row r="7" ht="38" customHeight="1">
      <x:c r="A7" s="14" t="str">
        <x:v>Data endpoints</x:v>
      </x:c>
      <x:c r="B7" s="22" t="n">
        <x:v>2</x:v>
      </x:c>
      <x:c r="C7" s="22" t="n">
        <x:v>2</x:v>
      </x:c>
      <x:c r="D7" s="22" t="n">
        <x:v>4</x:v>
      </x:c>
      <x:c r="E7" s="22" t="n">
        <x:v>40</x:v>
      </x:c>
      <x:c r="F7" s="22" t="n">
        <x:v>100</x:v>
      </x:c>
      <x:c r="G7" s="14" t="n">
        <x:f>B7*C7</x:f>
        <x:v>4</x:v>
      </x:c>
      <x:c r="H7" s="14" t="n">
        <x:f>B7*D7</x:f>
        <x:v>8</x:v>
      </x:c>
      <x:c r="I7" s="14" t="n">
        <x:f>B7*(E7+F7)</x:f>
        <x:v>280</x:v>
      </x:c>
    </x:row>
    <x:row r="8" ht="38" customHeight="1">
      <x:c r="A8" s="14" t="str">
        <x:v>Sequential probes</x:v>
      </x:c>
      <x:c r="B8" s="22" t="n">
        <x:v>1</x:v>
      </x:c>
      <x:c r="C8" s="22" t="n">
        <x:v>2</x:v>
      </x:c>
      <x:c r="D8" s="22" t="n">
        <x:v>4</x:v>
      </x:c>
      <x:c r="E8" s="22" t="n">
        <x:v>40</x:v>
      </x:c>
      <x:c r="F8" s="22" t="n">
        <x:v>0</x:v>
      </x:c>
      <x:c r="G8" s="14" t="n">
        <x:f>B8*C8</x:f>
        <x:v>2</x:v>
      </x:c>
      <x:c r="H8" s="14" t="n">
        <x:f>B8*D8</x:f>
        <x:v>4</x:v>
      </x:c>
      <x:c r="I8" s="14" t="n">
        <x:f>B8*(E8+F8)</x:f>
        <x:v>40</x:v>
      </x:c>
    </x:row>
    <x:row r="9" ht="38" customHeight="1">
      <x:c r="A9" s="14" t="str">
        <x:v>Alternative simultaneous probes</x:v>
      </x:c>
      <x:c r="B9" s="22" t="n">
        <x:v>4</x:v>
      </x:c>
      <x:c r="C9" s="22" t="n">
        <x:v>2</x:v>
      </x:c>
      <x:c r="D9" s="22" t="n">
        <x:v>4</x:v>
      </x:c>
      <x:c r="E9" s="22" t="n">
        <x:v>40</x:v>
      </x:c>
      <x:c r="F9" s="22" t="n">
        <x:v>0</x:v>
      </x:c>
      <x:c r="G9" s="14" t="n">
        <x:f>B9*C9</x:f>
        <x:v>8</x:v>
      </x:c>
      <x:c r="H9" s="14" t="n">
        <x:f>B9*D9</x:f>
        <x:v>16</x:v>
      </x:c>
      <x:c r="I9" s="14" t="n">
        <x:f>B9*(E9+F9)</x:f>
        <x:v>160</x:v>
      </x:c>
    </x:row>
    <x:row r="12" ht="28" customHeight="1">
      <x:c r="A12" s="29" t="str">
        <x:v>Permanent fixture</x:v>
      </x:c>
      <x:c r="B12" s="29"/>
      <x:c r="C12" s="29"/>
      <x:c r="D12" s="29"/>
      <x:c r="E12" s="29"/>
      <x:c r="F12" s="29"/>
      <x:c r="G12" s="29" t="n">
        <x:f>G6+G7</x:f>
        <x:v>8</x:v>
      </x:c>
      <x:c r="H12" s="29" t="n">
        <x:f>H6+H7</x:f>
        <x:v>16</x:v>
      </x:c>
      <x:c r="I12" s="29" t="n">
        <x:f>I6+I7</x:f>
        <x:v>360</x:v>
      </x:c>
    </x:row>
    <x:row r="13" ht="28" customHeight="1">
      <x:c r="A13" s="29" t="str">
        <x:v>Peak sequential test</x:v>
      </x:c>
      <x:c r="B13" s="29"/>
      <x:c r="C13" s="29"/>
      <x:c r="D13" s="29"/>
      <x:c r="E13" s="29"/>
      <x:c r="F13" s="29"/>
      <x:c r="G13" s="29" t="n">
        <x:f>G6+G7+G8</x:f>
        <x:v>10</x:v>
      </x:c>
      <x:c r="H13" s="29" t="n">
        <x:f>H6+H7+H8</x:f>
        <x:v>20</x:v>
      </x:c>
      <x:c r="I13" s="29" t="n">
        <x:f>I6+I7+I8</x:f>
        <x:v>400</x:v>
      </x:c>
    </x:row>
    <x:row r="14" ht="28" customHeight="1">
      <x:c r="A14" s="29" t="str">
        <x:v>Alternative simultaneous test</x:v>
      </x:c>
      <x:c r="B14" s="29"/>
      <x:c r="C14" s="29"/>
      <x:c r="D14" s="29"/>
      <x:c r="E14" s="29"/>
      <x:c r="F14" s="29"/>
      <x:c r="G14" s="29" t="n">
        <x:f>G6+G7+G9</x:f>
        <x:v>16</x:v>
      </x:c>
      <x:c r="H14" s="29" t="n">
        <x:f>H6+H7+H9</x:f>
        <x:v>32</x:v>
      </x:c>
      <x:c r="I14" s="29" t="n">
        <x:f>I6+I7+I9</x:f>
        <x:v>520</x:v>
      </x:c>
    </x:row>
    <x:row r="17" ht="27" customHeight="1">
      <x:c r="A17" s="32" t="str">
        <x:v>Exclude the alternative simultaneous-probe row from the sequential peak. Add actual controllers, service/security resources, replication, snapshots, backups, rebuild and maintenance reserve separately. Source: frozen WD §11; 07_Worked_Infrastructure_Design_and_Acceptance_v1_4.docx.</x:v>
      </x:c>
      <x:c r="B17" s="32"/>
      <x:c r="C17" s="32"/>
      <x:c r="D17" s="32"/>
      <x:c r="E17" s="32"/>
      <x:c r="F17" s="32"/>
      <x:c r="G17" s="32"/>
      <x:c r="H17" s="32"/>
      <x:c r="I17" s="32"/>
    </x:row>
    <x:row r="18" ht="27" customHeight="1">
      <x:c r="A18" s="32"/>
      <x:c r="B18" s="32"/>
      <x:c r="C18" s="32"/>
      <x:c r="D18" s="32"/>
      <x:c r="E18" s="32"/>
      <x:c r="F18" s="32"/>
      <x:c r="G18" s="32"/>
      <x:c r="H18" s="32"/>
      <x:c r="I18" s="32"/>
    </x:row>
  </x:sheetData>
  <x:mergeCells>
    <x:mergeCell ref="A1:I1"/>
    <x:mergeCell ref="A2:I3"/>
    <x:mergeCell ref="A12:F12"/>
    <x:mergeCell ref="A13:F13"/>
    <x:mergeCell ref="A14:F14"/>
    <x:mergeCell ref="A17:I18"/>
  </x:mergeCells>
  <x:pageMargins left="0.7" right="0.7" top="0.75" bottom="0.75" header="0.3" footer="0.3"/>
  <x:tableParts count="1">
    <x:tablePart xmlns:r="http://schemas.openxmlformats.org/officeDocument/2006/relationships" r:id="R01721808091940a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21" hidden="0" customWidth="1"/>
    <x:col min="4" max="4" width="16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23" hidden="0" customWidth="1"/>
    <x:col min="10" max="10" width="18" hidden="0" customWidth="1"/>
    <x:col min="11" max="11" width="25" hidden="0" customWidth="1"/>
  </x:cols>
  <x:sheetData>
    <x:row r="1" ht="30" customHeight="1">
      <x:c r="A1" s="3" t="str">
        <x:v>EXAMPLE ONLY | packet-field arithmetic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8" t="str">
        <x:v>Derived from WD §11: untagged inner Ethernet + basic VXLAN + UDP. Actual product definitions, Geneve options, IPsec and surviving paths need independent engineering. No operational setting is supplied.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9" t="str">
        <x:v>Case</x:v>
      </x:c>
      <x:c r="B5" s="19" t="str">
        <x:v>Workload IP</x:v>
      </x:c>
      <x:c r="C5" s="19" t="str">
        <x:v>Inner Ethernet</x:v>
      </x:c>
      <x:c r="D5" s="19" t="str">
        <x:v>VXLAN</x:v>
      </x:c>
      <x:c r="E5" s="19" t="str">
        <x:v>UDP</x:v>
      </x:c>
      <x:c r="F5" s="19" t="str">
        <x:v>Outer IP</x:v>
      </x:c>
      <x:c r="G5" s="19" t="str">
        <x:v>Inner tag</x:v>
      </x:c>
      <x:c r="H5" s="19" t="str">
        <x:v>Total outer IP</x:v>
      </x:c>
      <x:c r="I5" s="19" t="str">
        <x:v>Outer-IP limit</x:v>
      </x:c>
      <x:c r="J5" s="19" t="str">
        <x:v>Margin</x:v>
      </x:c>
      <x:c r="K5" s="19" t="str">
        <x:v>Arithmetic result</x:v>
      </x:c>
    </x:row>
    <x:row r="6" ht="38" customHeight="1">
      <x:c r="A6" s="14" t="str">
        <x:v>IPv4 outer</x:v>
      </x:c>
      <x:c r="B6" s="22" t="n">
        <x:v>1450</x:v>
      </x:c>
      <x:c r="C6" s="22" t="n">
        <x:v>14</x:v>
      </x:c>
      <x:c r="D6" s="22" t="n">
        <x:v>8</x:v>
      </x:c>
      <x:c r="E6" s="22" t="n">
        <x:v>8</x:v>
      </x:c>
      <x:c r="F6" s="22" t="n">
        <x:v>20</x:v>
      </x:c>
      <x:c r="G6" s="22" t="n">
        <x:v>0</x:v>
      </x:c>
      <x:c r="H6" s="14" t="n">
        <x:f>SUM(B6:G6)</x:f>
        <x:v>1500</x:v>
      </x:c>
      <x:c r="I6" s="22" t="n">
        <x:v>1500</x:v>
      </x:c>
      <x:c r="J6" s="14" t="n">
        <x:f>I6-H6</x:f>
        <x:v>0</x:v>
      </x:c>
      <x:c r="K6" s="14" t="str">
        <x:f>IF(J6&lt;0,"EXCEEDS PATH","WITHIN MODEL")</x:f>
        <x:v>WITHIN MODEL</x:v>
      </x:c>
    </x:row>
    <x:row r="7" ht="38" customHeight="1">
      <x:c r="A7" s="14" t="str">
        <x:v>IPv6 outer</x:v>
      </x:c>
      <x:c r="B7" s="22" t="n">
        <x:v>1450</x:v>
      </x:c>
      <x:c r="C7" s="22" t="n">
        <x:v>14</x:v>
      </x:c>
      <x:c r="D7" s="22" t="n">
        <x:v>8</x:v>
      </x:c>
      <x:c r="E7" s="22" t="n">
        <x:v>8</x:v>
      </x:c>
      <x:c r="F7" s="22" t="n">
        <x:v>40</x:v>
      </x:c>
      <x:c r="G7" s="22" t="n">
        <x:v>0</x:v>
      </x:c>
      <x:c r="H7" s="14" t="n">
        <x:f>SUM(B7:G7)</x:f>
        <x:v>1520</x:v>
      </x:c>
      <x:c r="I7" s="22" t="n">
        <x:v>1500</x:v>
      </x:c>
      <x:c r="J7" s="14" t="n">
        <x:f>I7-H7</x:f>
        <x:v>-20</x:v>
      </x:c>
      <x:c r="K7" s="14" t="str">
        <x:f>IF(J7&lt;0,"EXCEEDS PATH","WITHIN MODEL")</x:f>
        <x:v>EXCEEDS PATH</x:v>
      </x:c>
    </x:row>
    <x:row r="8" ht="38" customHeight="1">
      <x:c r="A8" s="14" t="str">
        <x:v>IPv4 + inner tag</x:v>
      </x:c>
      <x:c r="B8" s="22" t="n">
        <x:v>1450</x:v>
      </x:c>
      <x:c r="C8" s="22" t="n">
        <x:v>14</x:v>
      </x:c>
      <x:c r="D8" s="22" t="n">
        <x:v>8</x:v>
      </x:c>
      <x:c r="E8" s="22" t="n">
        <x:v>8</x:v>
      </x:c>
      <x:c r="F8" s="22" t="n">
        <x:v>20</x:v>
      </x:c>
      <x:c r="G8" s="22" t="n">
        <x:v>4</x:v>
      </x:c>
      <x:c r="H8" s="14" t="n">
        <x:f>SUM(B8:G8)</x:f>
        <x:v>1504</x:v>
      </x:c>
      <x:c r="I8" s="22" t="n">
        <x:v>1500</x:v>
      </x:c>
      <x:c r="J8" s="14" t="n">
        <x:f>I8-H8</x:f>
        <x:v>-4</x:v>
      </x:c>
      <x:c r="K8" s="14" t="str">
        <x:f>IF(J8&lt;0,"EXCEEDS PATH","WITHIN MODEL")</x:f>
        <x:v>EXCEEDS PATH</x:v>
      </x:c>
    </x:row>
  </x:sheetData>
  <x:mergeCells>
    <x:mergeCell ref="A1:K1"/>
    <x:mergeCell ref="A2:K3"/>
  </x:mergeCells>
  <x:conditionalFormatting sqref="J6:J8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fed5e403a64c0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0" hidden="0" customWidth="1"/>
    <x:col min="5" max="5" width="24" hidden="0" customWidth="1"/>
    <x:col min="6" max="6" width="21" hidden="0" customWidth="1"/>
    <x:col min="7" max="7" width="22" hidden="0" customWidth="1"/>
    <x:col min="8" max="8" width="25" hidden="0" customWidth="1"/>
  </x:cols>
  <x:sheetData>
    <x:row r="1" ht="30" customHeight="1">
      <x:c r="A1" s="3" t="str">
        <x:v>EXAMPLE ONLY | a bottleneck cannot be traded across dimensions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Proposed kit numbers, not WD measurements. The example has enough memory/storage but insufficient inspected throughput. Gbps does not substitute for sessions, routes, attachment slots or recovery capability.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Dimension</x:v>
      </x:c>
      <x:c r="B5" s="19" t="str">
        <x:v>Unit</x:v>
      </x:c>
      <x:c r="C5" s="19" t="str">
        <x:v>Surviving capacity</x:v>
      </x:c>
      <x:c r="D5" s="19" t="str">
        <x:v>Reserve</x:v>
      </x:c>
      <x:c r="E5" s="19" t="str">
        <x:v>Existing commitment</x:v>
      </x:c>
      <x:c r="F5" s="19" t="str">
        <x:v>Increment</x:v>
      </x:c>
      <x:c r="G5" s="19" t="str">
        <x:v>Remaining</x:v>
      </x:c>
      <x:c r="H5" s="19" t="str">
        <x:v>Arithmetic result</x:v>
      </x:c>
    </x:row>
    <x:row r="6" ht="38" customHeight="1">
      <x:c r="A6" s="14" t="str">
        <x:v>Memory</x:v>
      </x:c>
      <x:c r="B6" s="14" t="str">
        <x:v>GiB</x:v>
      </x:c>
      <x:c r="C6" s="22" t="n">
        <x:v>128</x:v>
      </x:c>
      <x:c r="D6" s="22" t="n">
        <x:v>16</x:v>
      </x:c>
      <x:c r="E6" s="22" t="n">
        <x:v>60</x:v>
      </x:c>
      <x:c r="F6" s="22" t="n">
        <x:v>20</x:v>
      </x:c>
      <x:c r="G6" s="14" t="n">
        <x:f>C6-D6-E6-F6</x:f>
        <x:v>32</x:v>
      </x:c>
      <x:c r="H6" s="14" t="str">
        <x:f>IF(G6&lt;0,"EXCEEDS CAPACITY","WITHIN MODEL")</x:f>
        <x:v>WITHIN MODEL</x:v>
      </x:c>
    </x:row>
    <x:row r="7" ht="38" customHeight="1">
      <x:c r="A7" s="14" t="str">
        <x:v>Usable storage</x:v>
      </x:c>
      <x:c r="B7" s="14" t="str">
        <x:v>GiB</x:v>
      </x:c>
      <x:c r="C7" s="22" t="n">
        <x:v>2000</x:v>
      </x:c>
      <x:c r="D7" s="22" t="n">
        <x:v>300</x:v>
      </x:c>
      <x:c r="E7" s="22" t="n">
        <x:v>800</x:v>
      </x:c>
      <x:c r="F7" s="22" t="n">
        <x:v>400</x:v>
      </x:c>
      <x:c r="G7" s="14" t="n">
        <x:f>C7-D7-E7-F7</x:f>
        <x:v>500</x:v>
      </x:c>
      <x:c r="H7" s="14" t="str">
        <x:f>IF(G7&lt;0,"EXCEEDS CAPACITY","WITHIN MODEL")</x:f>
        <x:v>WITHIN MODEL</x:v>
      </x:c>
    </x:row>
    <x:row r="8" ht="38" customHeight="1">
      <x:c r="A8" s="14" t="str">
        <x:v>Inspected edge</x:v>
      </x:c>
      <x:c r="B8" s="14" t="str">
        <x:v>Gbps</x:v>
      </x:c>
      <x:c r="C8" s="22" t="n">
        <x:v>10</x:v>
      </x:c>
      <x:c r="D8" s="22" t="n">
        <x:v>2</x:v>
      </x:c>
      <x:c r="E8" s="22" t="n">
        <x:v>6</x:v>
      </x:c>
      <x:c r="F8" s="22" t="n">
        <x:v>3</x:v>
      </x:c>
      <x:c r="G8" s="14" t="n">
        <x:f>C8-D8-E8-F8</x:f>
        <x:v>-1</x:v>
      </x:c>
      <x:c r="H8" s="14" t="str">
        <x:f>IF(G8&lt;0,"EXCEEDS CAPACITY","WITHIN MODEL")</x:f>
        <x:v>EXCEEDS CAPACITY</x:v>
      </x:c>
    </x:row>
  </x:sheetData>
  <x:mergeCells>
    <x:mergeCell ref="A1:H1"/>
    <x:mergeCell ref="A2:H3"/>
  </x:mergeCells>
  <x:conditionalFormatting sqref="G6:G8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c1f0dd2d714a9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3" t="str">
        <x:v>EXAMPLE ONLY | Illustrative IPv4 route schedule</x:v>
      </x:c>
      <x:c r="B1" s="3"/>
      <x:c r="C1" s="3"/>
      <x:c r="D1" s="3"/>
      <x:c r="E1" s="3"/>
    </x:row>
    <x:row r="2" ht="20" customHeight="1">
      <x:c r="A2" s="8" t="str">
        <x:v>Frozen WD v1.4 companion schedule, unchanged. Addresses and next hops are documentation values, not site allocations or proof of native support.</x:v>
      </x:c>
      <x:c r="B2" s="8"/>
      <x:c r="C2" s="8"/>
      <x:c r="D2" s="8"/>
      <x:c r="E2" s="8"/>
    </x:row>
    <x:row r="3" ht="20" customHeight="1">
      <x:c r="A3" s="8"/>
      <x:c r="B3" s="8"/>
      <x:c r="C3" s="8"/>
      <x:c r="D3" s="8"/>
      <x:c r="E3" s="8"/>
    </x:row>
    <x:row r="5" ht="32" customHeight="1">
      <x:c r="A5" s="19" t="str">
        <x:v>Owner</x:v>
      </x:c>
      <x:c r="B5" s="19" t="str">
        <x:v>Destination</x:v>
      </x:c>
      <x:c r="C5" s="19" t="str">
        <x:v>Next Hop</x:v>
      </x:c>
      <x:c r="D5" s="19" t="str">
        <x:v>Next Component</x:v>
      </x:c>
      <x:c r="E5" s="19" t="str">
        <x:v>Restriction</x:v>
      </x:c>
    </x:row>
    <x:row r="6" ht="48" customHeight="1">
      <x:c r="A6" s="14" t="str">
        <x:v>D01O</x:v>
      </x:c>
      <x:c r="B6" s="14" t="str">
        <x:v>192.0.2.32/27</x:v>
      </x:c>
      <x:c r="C6" s="14" t="str">
        <x:v>198.51.100.1</x:v>
      </x:c>
      <x:c r="D6" s="14" t="str">
        <x:v>EC-01</x:v>
      </x:c>
      <x:c r="E6" s="14" t="str">
        <x:v>Permitted inter-zone service only; routes do not grant general access</x:v>
      </x:c>
    </x:row>
    <x:row r="7" ht="38" customHeight="1">
      <x:c r="A7" s="14" t="str">
        <x:v>D01O</x:v>
      </x:c>
      <x:c r="B7" s="14" t="str">
        <x:v>203.0.113.138/32</x:v>
      </x:c>
      <x:c r="C7" s="14" t="str">
        <x:v>198.51.100.1</x:v>
      </x:c>
      <x:c r="D7" s="14" t="str">
        <x:v>EC-01</x:v>
      </x:c>
      <x:c r="E7" s="14" t="str">
        <x:v>Named service only</x:v>
      </x:c>
    </x:row>
    <x:row r="8" ht="38" customHeight="1">
      <x:c r="A8" s="14" t="str">
        <x:v>D01O</x:v>
      </x:c>
      <x:c r="B8" s="14" t="str">
        <x:v>203.0.113.139/32</x:v>
      </x:c>
      <x:c r="C8" s="14" t="str">
        <x:v>198.51.100.1</x:v>
      </x:c>
      <x:c r="D8" s="14" t="str">
        <x:v>EC-01</x:v>
      </x:c>
      <x:c r="E8" s="14" t="str">
        <x:v>Named service only</x:v>
      </x:c>
    </x:row>
    <x:row r="9" ht="38" customHeight="1">
      <x:c r="A9" s="14" t="str">
        <x:v>D01O</x:v>
      </x:c>
      <x:c r="B9" s="14" t="str">
        <x:v>203.0.113.140/32</x:v>
      </x:c>
      <x:c r="C9" s="14" t="str">
        <x:v>198.51.100.1</x:v>
      </x:c>
      <x:c r="D9" s="14" t="str">
        <x:v>EC-01</x:v>
      </x:c>
      <x:c r="E9" s="14" t="str">
        <x:v>Named service only</x:v>
      </x:c>
    </x:row>
    <x:row r="10" ht="38" customHeight="1">
      <x:c r="A10" s="14" t="str">
        <x:v>D01O</x:v>
      </x:c>
      <x:c r="B10" s="14" t="str">
        <x:v>203.0.113.141/32</x:v>
      </x:c>
      <x:c r="C10" s="14" t="str">
        <x:v>198.51.100.1</x:v>
      </x:c>
      <x:c r="D10" s="14" t="str">
        <x:v>EC-01</x:v>
      </x:c>
      <x:c r="E10" s="14" t="str">
        <x:v>Named service only</x:v>
      </x:c>
    </x:row>
    <x:row r="11" ht="48" customHeight="1">
      <x:c r="A11" s="14" t="str">
        <x:v>D01R</x:v>
      </x:c>
      <x:c r="B11" s="14" t="str">
        <x:v>192.0.2.0/27</x:v>
      </x:c>
      <x:c r="C11" s="14" t="str">
        <x:v>198.51.100.5</x:v>
      </x:c>
      <x:c r="D11" s="14" t="str">
        <x:v>EC-01</x:v>
      </x:c>
      <x:c r="E11" s="14" t="str">
        <x:v>Permitted inter-zone service only; routes do not grant general access</x:v>
      </x:c>
    </x:row>
    <x:row r="12" ht="38" customHeight="1">
      <x:c r="A12" s="14" t="str">
        <x:v>D01R</x:v>
      </x:c>
      <x:c r="B12" s="14" t="str">
        <x:v>203.0.113.138/32</x:v>
      </x:c>
      <x:c r="C12" s="14" t="str">
        <x:v>198.51.100.5</x:v>
      </x:c>
      <x:c r="D12" s="14" t="str">
        <x:v>EC-01</x:v>
      </x:c>
      <x:c r="E12" s="14" t="str">
        <x:v>Named service only</x:v>
      </x:c>
    </x:row>
    <x:row r="13" ht="38" customHeight="1">
      <x:c r="A13" s="14" t="str">
        <x:v>D01R</x:v>
      </x:c>
      <x:c r="B13" s="14" t="str">
        <x:v>203.0.113.139/32</x:v>
      </x:c>
      <x:c r="C13" s="14" t="str">
        <x:v>198.51.100.5</x:v>
      </x:c>
      <x:c r="D13" s="14" t="str">
        <x:v>EC-01</x:v>
      </x:c>
      <x:c r="E13" s="14" t="str">
        <x:v>Named service only</x:v>
      </x:c>
    </x:row>
    <x:row r="14" ht="38" customHeight="1">
      <x:c r="A14" s="14" t="str">
        <x:v>D01R</x:v>
      </x:c>
      <x:c r="B14" s="14" t="str">
        <x:v>203.0.113.140/32</x:v>
      </x:c>
      <x:c r="C14" s="14" t="str">
        <x:v>198.51.100.5</x:v>
      </x:c>
      <x:c r="D14" s="14" t="str">
        <x:v>EC-01</x:v>
      </x:c>
      <x:c r="E14" s="14" t="str">
        <x:v>Named service only</x:v>
      </x:c>
    </x:row>
    <x:row r="15" ht="38" customHeight="1">
      <x:c r="A15" s="14" t="str">
        <x:v>D01R</x:v>
      </x:c>
      <x:c r="B15" s="14" t="str">
        <x:v>203.0.113.141/32</x:v>
      </x:c>
      <x:c r="C15" s="14" t="str">
        <x:v>198.51.100.5</x:v>
      </x:c>
      <x:c r="D15" s="14" t="str">
        <x:v>EC-01</x:v>
      </x:c>
      <x:c r="E15" s="14" t="str">
        <x:v>Named service only</x:v>
      </x:c>
    </x:row>
    <x:row r="16" ht="48" customHeight="1">
      <x:c r="A16" s="14" t="str">
        <x:v>D02O</x:v>
      </x:c>
      <x:c r="B16" s="14" t="str">
        <x:v>192.0.2.96/27</x:v>
      </x:c>
      <x:c r="C16" s="14" t="str">
        <x:v>198.51.100.9</x:v>
      </x:c>
      <x:c r="D16" s="14" t="str">
        <x:v>EC-02</x:v>
      </x:c>
      <x:c r="E16" s="14" t="str">
        <x:v>Permitted inter-zone service only; routes do not grant general access</x:v>
      </x:c>
    </x:row>
    <x:row r="17" ht="38" customHeight="1">
      <x:c r="A17" s="14" t="str">
        <x:v>D02O</x:v>
      </x:c>
      <x:c r="B17" s="14" t="str">
        <x:v>203.0.113.138/32</x:v>
      </x:c>
      <x:c r="C17" s="14" t="str">
        <x:v>198.51.100.9</x:v>
      </x:c>
      <x:c r="D17" s="14" t="str">
        <x:v>EC-02</x:v>
      </x:c>
      <x:c r="E17" s="14" t="str">
        <x:v>Named service only</x:v>
      </x:c>
    </x:row>
    <x:row r="18" ht="38" customHeight="1">
      <x:c r="A18" s="14" t="str">
        <x:v>D02O</x:v>
      </x:c>
      <x:c r="B18" s="14" t="str">
        <x:v>203.0.113.139/32</x:v>
      </x:c>
      <x:c r="C18" s="14" t="str">
        <x:v>198.51.100.9</x:v>
      </x:c>
      <x:c r="D18" s="14" t="str">
        <x:v>EC-02</x:v>
      </x:c>
      <x:c r="E18" s="14" t="str">
        <x:v>Named service only</x:v>
      </x:c>
    </x:row>
    <x:row r="19" ht="38" customHeight="1">
      <x:c r="A19" s="14" t="str">
        <x:v>D02O</x:v>
      </x:c>
      <x:c r="B19" s="14" t="str">
        <x:v>203.0.113.140/32</x:v>
      </x:c>
      <x:c r="C19" s="14" t="str">
        <x:v>198.51.100.9</x:v>
      </x:c>
      <x:c r="D19" s="14" t="str">
        <x:v>EC-02</x:v>
      </x:c>
      <x:c r="E19" s="14" t="str">
        <x:v>Named service only</x:v>
      </x:c>
    </x:row>
    <x:row r="20" ht="38" customHeight="1">
      <x:c r="A20" s="14" t="str">
        <x:v>D02O</x:v>
      </x:c>
      <x:c r="B20" s="14" t="str">
        <x:v>203.0.113.141/32</x:v>
      </x:c>
      <x:c r="C20" s="14" t="str">
        <x:v>198.51.100.9</x:v>
      </x:c>
      <x:c r="D20" s="14" t="str">
        <x:v>EC-02</x:v>
      </x:c>
      <x:c r="E20" s="14" t="str">
        <x:v>Named service only</x:v>
      </x:c>
    </x:row>
    <x:row r="21" ht="48" customHeight="1">
      <x:c r="A21" s="14" t="str">
        <x:v>D02R</x:v>
      </x:c>
      <x:c r="B21" s="14" t="str">
        <x:v>192.0.2.64/27</x:v>
      </x:c>
      <x:c r="C21" s="14" t="str">
        <x:v>198.51.100.13</x:v>
      </x:c>
      <x:c r="D21" s="14" t="str">
        <x:v>EC-02</x:v>
      </x:c>
      <x:c r="E21" s="14" t="str">
        <x:v>Permitted inter-zone service only; routes do not grant general access</x:v>
      </x:c>
    </x:row>
    <x:row r="22" ht="38" customHeight="1">
      <x:c r="A22" s="14" t="str">
        <x:v>D02R</x:v>
      </x:c>
      <x:c r="B22" s="14" t="str">
        <x:v>203.0.113.138/32</x:v>
      </x:c>
      <x:c r="C22" s="14" t="str">
        <x:v>198.51.100.13</x:v>
      </x:c>
      <x:c r="D22" s="14" t="str">
        <x:v>EC-02</x:v>
      </x:c>
      <x:c r="E22" s="14" t="str">
        <x:v>Named service only</x:v>
      </x:c>
    </x:row>
    <x:row r="23" ht="38" customHeight="1">
      <x:c r="A23" s="14" t="str">
        <x:v>D02R</x:v>
      </x:c>
      <x:c r="B23" s="14" t="str">
        <x:v>203.0.113.139/32</x:v>
      </x:c>
      <x:c r="C23" s="14" t="str">
        <x:v>198.51.100.13</x:v>
      </x:c>
      <x:c r="D23" s="14" t="str">
        <x:v>EC-02</x:v>
      </x:c>
      <x:c r="E23" s="14" t="str">
        <x:v>Named service only</x:v>
      </x:c>
    </x:row>
    <x:row r="24" ht="38" customHeight="1">
      <x:c r="A24" s="14" t="str">
        <x:v>D02R</x:v>
      </x:c>
      <x:c r="B24" s="14" t="str">
        <x:v>203.0.113.140/32</x:v>
      </x:c>
      <x:c r="C24" s="14" t="str">
        <x:v>198.51.100.13</x:v>
      </x:c>
      <x:c r="D24" s="14" t="str">
        <x:v>EC-02</x:v>
      </x:c>
      <x:c r="E24" s="14" t="str">
        <x:v>Named service only</x:v>
      </x:c>
    </x:row>
    <x:row r="25" ht="38" customHeight="1">
      <x:c r="A25" s="14" t="str">
        <x:v>D02R</x:v>
      </x:c>
      <x:c r="B25" s="14" t="str">
        <x:v>203.0.113.141/32</x:v>
      </x:c>
      <x:c r="C25" s="14" t="str">
        <x:v>198.51.100.13</x:v>
      </x:c>
      <x:c r="D25" s="14" t="str">
        <x:v>EC-02</x:v>
      </x:c>
      <x:c r="E25" s="14" t="str">
        <x:v>Named service only</x:v>
      </x:c>
    </x:row>
    <x:row r="26" ht="38" customHeight="1">
      <x:c r="A26" s="14" t="str">
        <x:v>EC-01</x:v>
      </x:c>
      <x:c r="B26" s="14" t="str">
        <x:v>192.0.2.0/27</x:v>
      </x:c>
      <x:c r="C26" s="14" t="str">
        <x:v>198.51.100.2</x:v>
      </x:c>
      <x:c r="D26" s="14" t="str">
        <x:v>D01O</x:v>
      </x:c>
      <x:c r="E26" s="14" t="str">
        <x:v>Only own tenant prefixes</x:v>
      </x:c>
    </x:row>
    <x:row r="27" ht="38" customHeight="1">
      <x:c r="A27" s="14" t="str">
        <x:v>EC-01</x:v>
      </x:c>
      <x:c r="B27" s="14" t="str">
        <x:v>192.0.2.32/27</x:v>
      </x:c>
      <x:c r="C27" s="14" t="str">
        <x:v>198.51.100.6</x:v>
      </x:c>
      <x:c r="D27" s="14" t="str">
        <x:v>D01R</x:v>
      </x:c>
      <x:c r="E27" s="14" t="str">
        <x:v>Only own tenant prefixes</x:v>
      </x:c>
    </x:row>
    <x:row r="28" ht="38" customHeight="1">
      <x:c r="A28" s="14" t="str">
        <x:v>EC-01</x:v>
      </x:c>
      <x:c r="B28" s="14" t="str">
        <x:v>203.0.113.138/32</x:v>
      </x:c>
      <x:c r="C28" s="14" t="str">
        <x:v>198.51.100.18</x:v>
      </x:c>
      <x:c r="D28" s="14" t="str">
        <x:v>SE-01</x:v>
      </x:c>
      <x:c r="E28" s="14" t="str">
        <x:v>Approved source and service policy required</x:v>
      </x:c>
    </x:row>
    <x:row r="29" ht="38" customHeight="1">
      <x:c r="A29" s="14" t="str">
        <x:v>EC-01</x:v>
      </x:c>
      <x:c r="B29" s="14" t="str">
        <x:v>203.0.113.139/32</x:v>
      </x:c>
      <x:c r="C29" s="14" t="str">
        <x:v>198.51.100.18</x:v>
      </x:c>
      <x:c r="D29" s="14" t="str">
        <x:v>SE-01</x:v>
      </x:c>
      <x:c r="E29" s="14" t="str">
        <x:v>Approved source and service policy required</x:v>
      </x:c>
    </x:row>
    <x:row r="30" ht="38" customHeight="1">
      <x:c r="A30" s="14" t="str">
        <x:v>EC-01</x:v>
      </x:c>
      <x:c r="B30" s="14" t="str">
        <x:v>203.0.113.140/32</x:v>
      </x:c>
      <x:c r="C30" s="14" t="str">
        <x:v>198.51.100.18</x:v>
      </x:c>
      <x:c r="D30" s="14" t="str">
        <x:v>SE-01</x:v>
      </x:c>
      <x:c r="E30" s="14" t="str">
        <x:v>Approved source and service policy required</x:v>
      </x:c>
    </x:row>
    <x:row r="31" ht="38" customHeight="1">
      <x:c r="A31" s="14" t="str">
        <x:v>EC-01</x:v>
      </x:c>
      <x:c r="B31" s="14" t="str">
        <x:v>203.0.113.141/32</x:v>
      </x:c>
      <x:c r="C31" s="14" t="str">
        <x:v>198.51.100.18</x:v>
      </x:c>
      <x:c r="D31" s="14" t="str">
        <x:v>SE-01</x:v>
      </x:c>
      <x:c r="E31" s="14" t="str">
        <x:v>Approved source and service policy required</x:v>
      </x:c>
    </x:row>
    <x:row r="32" ht="38" customHeight="1">
      <x:c r="A32" s="14" t="str">
        <x:v>EC-02</x:v>
      </x:c>
      <x:c r="B32" s="14" t="str">
        <x:v>192.0.2.64/27</x:v>
      </x:c>
      <x:c r="C32" s="14" t="str">
        <x:v>198.51.100.10</x:v>
      </x:c>
      <x:c r="D32" s="14" t="str">
        <x:v>D02O</x:v>
      </x:c>
      <x:c r="E32" s="14" t="str">
        <x:v>Only own tenant prefixes</x:v>
      </x:c>
    </x:row>
    <x:row r="33" ht="38" customHeight="1">
      <x:c r="A33" s="14" t="str">
        <x:v>EC-02</x:v>
      </x:c>
      <x:c r="B33" s="14" t="str">
        <x:v>192.0.2.96/27</x:v>
      </x:c>
      <x:c r="C33" s="14" t="str">
        <x:v>198.51.100.14</x:v>
      </x:c>
      <x:c r="D33" s="14" t="str">
        <x:v>D02R</x:v>
      </x:c>
      <x:c r="E33" s="14" t="str">
        <x:v>Only own tenant prefixes</x:v>
      </x:c>
    </x:row>
    <x:row r="34" ht="38" customHeight="1">
      <x:c r="A34" s="14" t="str">
        <x:v>EC-02</x:v>
      </x:c>
      <x:c r="B34" s="14" t="str">
        <x:v>203.0.113.138/32</x:v>
      </x:c>
      <x:c r="C34" s="14" t="str">
        <x:v>198.51.100.22</x:v>
      </x:c>
      <x:c r="D34" s="14" t="str">
        <x:v>SE-02</x:v>
      </x:c>
      <x:c r="E34" s="14" t="str">
        <x:v>Approved source and service policy required</x:v>
      </x:c>
    </x:row>
    <x:row r="35" ht="38" customHeight="1">
      <x:c r="A35" s="14" t="str">
        <x:v>EC-02</x:v>
      </x:c>
      <x:c r="B35" s="14" t="str">
        <x:v>203.0.113.139/32</x:v>
      </x:c>
      <x:c r="C35" s="14" t="str">
        <x:v>198.51.100.22</x:v>
      </x:c>
      <x:c r="D35" s="14" t="str">
        <x:v>SE-02</x:v>
      </x:c>
      <x:c r="E35" s="14" t="str">
        <x:v>Approved source and service policy required</x:v>
      </x:c>
    </x:row>
    <x:row r="36" ht="38" customHeight="1">
      <x:c r="A36" s="14" t="str">
        <x:v>EC-02</x:v>
      </x:c>
      <x:c r="B36" s="14" t="str">
        <x:v>203.0.113.140/32</x:v>
      </x:c>
      <x:c r="C36" s="14" t="str">
        <x:v>198.51.100.22</x:v>
      </x:c>
      <x:c r="D36" s="14" t="str">
        <x:v>SE-02</x:v>
      </x:c>
      <x:c r="E36" s="14" t="str">
        <x:v>Approved source and service policy required</x:v>
      </x:c>
    </x:row>
    <x:row r="37" ht="38" customHeight="1">
      <x:c r="A37" s="14" t="str">
        <x:v>EC-02</x:v>
      </x:c>
      <x:c r="B37" s="14" t="str">
        <x:v>203.0.113.141/32</x:v>
      </x:c>
      <x:c r="C37" s="14" t="str">
        <x:v>198.51.100.22</x:v>
      </x:c>
      <x:c r="D37" s="14" t="str">
        <x:v>SE-02</x:v>
      </x:c>
      <x:c r="E37" s="14" t="str">
        <x:v>Approved source and service policy required</x:v>
      </x:c>
    </x:row>
    <x:row r="38" ht="38" customHeight="1">
      <x:c r="A38" s="14" t="str">
        <x:v>SE-01</x:v>
      </x:c>
      <x:c r="B38" s="14" t="str">
        <x:v>192.0.2.0/27</x:v>
      </x:c>
      <x:c r="C38" s="14" t="str">
        <x:v>198.51.100.17</x:v>
      </x:c>
      <x:c r="D38" s="14" t="str">
        <x:v>EC-01</x:v>
      </x:c>
      <x:c r="E38" s="14" t="str">
        <x:v>Only stateful replies or separately approved provider initiation</x:v>
      </x:c>
    </x:row>
    <x:row r="39" ht="38" customHeight="1">
      <x:c r="A39" s="14" t="str">
        <x:v>SE-01</x:v>
      </x:c>
      <x:c r="B39" s="14" t="str">
        <x:v>192.0.2.32/27</x:v>
      </x:c>
      <x:c r="C39" s="14" t="str">
        <x:v>198.51.100.17</x:v>
      </x:c>
      <x:c r="D39" s="14" t="str">
        <x:v>EC-01</x:v>
      </x:c>
      <x:c r="E39" s="14" t="str">
        <x:v>Only stateful replies or separately approved provider initiation</x:v>
      </x:c>
    </x:row>
    <x:row r="40" ht="38" customHeight="1">
      <x:c r="A40" s="14" t="str">
        <x:v>SE-01</x:v>
      </x:c>
      <x:c r="B40" s="14" t="str">
        <x:v>203.0.113.138/32</x:v>
      </x:c>
      <x:c r="C40" s="14" t="str">
        <x:v>connected</x:v>
      </x:c>
      <x:c r="D40" s="14" t="str">
        <x:v>203.0.113.138</x:v>
      </x:c>
      <x:c r="E40" s="14" t="str">
        <x:v>Provider service delivery, not general transit</x:v>
      </x:c>
    </x:row>
    <x:row r="41" ht="38" customHeight="1">
      <x:c r="A41" s="14" t="str">
        <x:v>SE-01</x:v>
      </x:c>
      <x:c r="B41" s="14" t="str">
        <x:v>203.0.113.139/32</x:v>
      </x:c>
      <x:c r="C41" s="14" t="str">
        <x:v>connected</x:v>
      </x:c>
      <x:c r="D41" s="14" t="str">
        <x:v>203.0.113.139</x:v>
      </x:c>
      <x:c r="E41" s="14" t="str">
        <x:v>Provider service delivery, not general transit</x:v>
      </x:c>
    </x:row>
    <x:row r="42" ht="38" customHeight="1">
      <x:c r="A42" s="14" t="str">
        <x:v>SE-01</x:v>
      </x:c>
      <x:c r="B42" s="14" t="str">
        <x:v>203.0.113.140/32</x:v>
      </x:c>
      <x:c r="C42" s="14" t="str">
        <x:v>connected</x:v>
      </x:c>
      <x:c r="D42" s="14" t="str">
        <x:v>203.0.113.140</x:v>
      </x:c>
      <x:c r="E42" s="14" t="str">
        <x:v>Provider service delivery, not general transit</x:v>
      </x:c>
    </x:row>
    <x:row r="43" ht="38" customHeight="1">
      <x:c r="A43" s="14" t="str">
        <x:v>SE-01</x:v>
      </x:c>
      <x:c r="B43" s="14" t="str">
        <x:v>203.0.113.141/32</x:v>
      </x:c>
      <x:c r="C43" s="14" t="str">
        <x:v>connected</x:v>
      </x:c>
      <x:c r="D43" s="14" t="str">
        <x:v>203.0.113.141</x:v>
      </x:c>
      <x:c r="E43" s="14" t="str">
        <x:v>Provider service delivery, not general transit</x:v>
      </x:c>
    </x:row>
    <x:row r="44" ht="38" customHeight="1">
      <x:c r="A44" s="14" t="str">
        <x:v>SE-02</x:v>
      </x:c>
      <x:c r="B44" s="14" t="str">
        <x:v>192.0.2.64/27</x:v>
      </x:c>
      <x:c r="C44" s="14" t="str">
        <x:v>198.51.100.21</x:v>
      </x:c>
      <x:c r="D44" s="14" t="str">
        <x:v>EC-02</x:v>
      </x:c>
      <x:c r="E44" s="14" t="str">
        <x:v>Only stateful replies or separately approved provider initiation</x:v>
      </x:c>
    </x:row>
    <x:row r="45" ht="38" customHeight="1">
      <x:c r="A45" s="14" t="str">
        <x:v>SE-02</x:v>
      </x:c>
      <x:c r="B45" s="14" t="str">
        <x:v>192.0.2.96/27</x:v>
      </x:c>
      <x:c r="C45" s="14" t="str">
        <x:v>198.51.100.21</x:v>
      </x:c>
      <x:c r="D45" s="14" t="str">
        <x:v>EC-02</x:v>
      </x:c>
      <x:c r="E45" s="14" t="str">
        <x:v>Only stateful replies or separately approved provider initiation</x:v>
      </x:c>
    </x:row>
    <x:row r="46" ht="38" customHeight="1">
      <x:c r="A46" s="14" t="str">
        <x:v>SE-02</x:v>
      </x:c>
      <x:c r="B46" s="14" t="str">
        <x:v>203.0.113.138/32</x:v>
      </x:c>
      <x:c r="C46" s="14" t="str">
        <x:v>connected</x:v>
      </x:c>
      <x:c r="D46" s="14" t="str">
        <x:v>203.0.113.138</x:v>
      </x:c>
      <x:c r="E46" s="14" t="str">
        <x:v>Provider service delivery, not general transit</x:v>
      </x:c>
    </x:row>
    <x:row r="47" ht="38" customHeight="1">
      <x:c r="A47" s="14" t="str">
        <x:v>SE-02</x:v>
      </x:c>
      <x:c r="B47" s="14" t="str">
        <x:v>203.0.113.139/32</x:v>
      </x:c>
      <x:c r="C47" s="14" t="str">
        <x:v>connected</x:v>
      </x:c>
      <x:c r="D47" s="14" t="str">
        <x:v>203.0.113.139</x:v>
      </x:c>
      <x:c r="E47" s="14" t="str">
        <x:v>Provider service delivery, not general transit</x:v>
      </x:c>
    </x:row>
    <x:row r="48" ht="38" customHeight="1">
      <x:c r="A48" s="14" t="str">
        <x:v>SE-02</x:v>
      </x:c>
      <x:c r="B48" s="14" t="str">
        <x:v>203.0.113.140/32</x:v>
      </x:c>
      <x:c r="C48" s="14" t="str">
        <x:v>connected</x:v>
      </x:c>
      <x:c r="D48" s="14" t="str">
        <x:v>203.0.113.140</x:v>
      </x:c>
      <x:c r="E48" s="14" t="str">
        <x:v>Provider service delivery, not general transit</x:v>
      </x:c>
    </x:row>
    <x:row r="49" ht="38" customHeight="1">
      <x:c r="A49" s="14" t="str">
        <x:v>SE-02</x:v>
      </x:c>
      <x:c r="B49" s="14" t="str">
        <x:v>203.0.113.141/32</x:v>
      </x:c>
      <x:c r="C49" s="14" t="str">
        <x:v>connected</x:v>
      </x:c>
      <x:c r="D49" s="14" t="str">
        <x:v>203.0.113.141</x:v>
      </x:c>
      <x:c r="E49" s="14" t="str">
        <x:v>Provider service delivery, not general transit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17b3950d1191438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0" customHeight="1">
      <x:c r="A1" s="3" t="str">
        <x:v>EXAMPLE ONLY | Illustrative IPv6 route schedule</x:v>
      </x:c>
      <x:c r="B1" s="3"/>
      <x:c r="C1" s="3"/>
      <x:c r="D1" s="3"/>
    </x:row>
    <x:row r="2" ht="20" customHeight="1">
      <x:c r="A2" s="8" t="str">
        <x:v>Frozen WD v1.4 companion schedule, unchanged. Addresses and next hops are documentation values, not site allocations or proof of native support.</x:v>
      </x:c>
      <x:c r="B2" s="8"/>
      <x:c r="C2" s="8"/>
      <x:c r="D2" s="8"/>
    </x:row>
    <x:row r="3" ht="20" customHeight="1">
      <x:c r="A3" s="8"/>
      <x:c r="B3" s="8"/>
      <x:c r="C3" s="8"/>
      <x:c r="D3" s="8"/>
    </x:row>
    <x:row r="5" ht="32" customHeight="1">
      <x:c r="A5" s="19" t="str">
        <x:v>Owner</x:v>
      </x:c>
      <x:c r="B5" s="19" t="str">
        <x:v>Destination</x:v>
      </x:c>
      <x:c r="C5" s="19" t="str">
        <x:v>Next Hop</x:v>
      </x:c>
      <x:c r="D5" s="19" t="str">
        <x:v>Next Component</x:v>
      </x:c>
    </x:row>
    <x:row r="6" ht="38" customHeight="1">
      <x:c r="A6" s="14" t="str">
        <x:v>D01O</x:v>
      </x:c>
      <x:c r="B6" s="14" t="str">
        <x:v>2001:db8:100:2::/64</x:v>
      </x:c>
      <x:c r="C6" s="14" t="str">
        <x:v>2001:db8:200:1::1</x:v>
      </x:c>
      <x:c r="D6" s="14" t="str">
        <x:v>EC-01</x:v>
      </x:c>
    </x:row>
    <x:row r="7" ht="38" customHeight="1">
      <x:c r="A7" s="14" t="str">
        <x:v>D01O</x:v>
      </x:c>
      <x:c r="B7" s="14" t="str">
        <x:v>2001:db8:300:1::138/128</x:v>
      </x:c>
      <x:c r="C7" s="14" t="str">
        <x:v>2001:db8:200:1::1</x:v>
      </x:c>
      <x:c r="D7" s="14" t="str">
        <x:v>EC-01</x:v>
      </x:c>
    </x:row>
    <x:row r="8" ht="38" customHeight="1">
      <x:c r="A8" s="14" t="str">
        <x:v>D01O</x:v>
      </x:c>
      <x:c r="B8" s="14" t="str">
        <x:v>2001:db8:300:1::139/128</x:v>
      </x:c>
      <x:c r="C8" s="14" t="str">
        <x:v>2001:db8:200:1::1</x:v>
      </x:c>
      <x:c r="D8" s="14" t="str">
        <x:v>EC-01</x:v>
      </x:c>
    </x:row>
    <x:row r="9" ht="38" customHeight="1">
      <x:c r="A9" s="14" t="str">
        <x:v>D01O</x:v>
      </x:c>
      <x:c r="B9" s="14" t="str">
        <x:v>2001:db8:300:1::140/128</x:v>
      </x:c>
      <x:c r="C9" s="14" t="str">
        <x:v>2001:db8:200:1::1</x:v>
      </x:c>
      <x:c r="D9" s="14" t="str">
        <x:v>EC-01</x:v>
      </x:c>
    </x:row>
    <x:row r="10" ht="38" customHeight="1">
      <x:c r="A10" s="14" t="str">
        <x:v>D01O</x:v>
      </x:c>
      <x:c r="B10" s="14" t="str">
        <x:v>2001:db8:300:1::141/128</x:v>
      </x:c>
      <x:c r="C10" s="14" t="str">
        <x:v>2001:db8:200:1::1</x:v>
      </x:c>
      <x:c r="D10" s="14" t="str">
        <x:v>EC-01</x:v>
      </x:c>
    </x:row>
    <x:row r="11" ht="38" customHeight="1">
      <x:c r="A11" s="14" t="str">
        <x:v>D01R</x:v>
      </x:c>
      <x:c r="B11" s="14" t="str">
        <x:v>2001:db8:100:1::/64</x:v>
      </x:c>
      <x:c r="C11" s="14" t="str">
        <x:v>2001:db8:200:2::1</x:v>
      </x:c>
      <x:c r="D11" s="14" t="str">
        <x:v>EC-01</x:v>
      </x:c>
    </x:row>
    <x:row r="12" ht="38" customHeight="1">
      <x:c r="A12" s="14" t="str">
        <x:v>D01R</x:v>
      </x:c>
      <x:c r="B12" s="14" t="str">
        <x:v>2001:db8:300:1::138/128</x:v>
      </x:c>
      <x:c r="C12" s="14" t="str">
        <x:v>2001:db8:200:2::1</x:v>
      </x:c>
      <x:c r="D12" s="14" t="str">
        <x:v>EC-01</x:v>
      </x:c>
    </x:row>
    <x:row r="13" ht="38" customHeight="1">
      <x:c r="A13" s="14" t="str">
        <x:v>D01R</x:v>
      </x:c>
      <x:c r="B13" s="14" t="str">
        <x:v>2001:db8:300:1::139/128</x:v>
      </x:c>
      <x:c r="C13" s="14" t="str">
        <x:v>2001:db8:200:2::1</x:v>
      </x:c>
      <x:c r="D13" s="14" t="str">
        <x:v>EC-01</x:v>
      </x:c>
    </x:row>
    <x:row r="14" ht="38" customHeight="1">
      <x:c r="A14" s="14" t="str">
        <x:v>D01R</x:v>
      </x:c>
      <x:c r="B14" s="14" t="str">
        <x:v>2001:db8:300:1::140/128</x:v>
      </x:c>
      <x:c r="C14" s="14" t="str">
        <x:v>2001:db8:200:2::1</x:v>
      </x:c>
      <x:c r="D14" s="14" t="str">
        <x:v>EC-01</x:v>
      </x:c>
    </x:row>
    <x:row r="15" ht="38" customHeight="1">
      <x:c r="A15" s="14" t="str">
        <x:v>D01R</x:v>
      </x:c>
      <x:c r="B15" s="14" t="str">
        <x:v>2001:db8:300:1::141/128</x:v>
      </x:c>
      <x:c r="C15" s="14" t="str">
        <x:v>2001:db8:200:2::1</x:v>
      </x:c>
      <x:c r="D15" s="14" t="str">
        <x:v>EC-01</x:v>
      </x:c>
    </x:row>
    <x:row r="16" ht="38" customHeight="1">
      <x:c r="A16" s="14" t="str">
        <x:v>D02O</x:v>
      </x:c>
      <x:c r="B16" s="14" t="str">
        <x:v>2001:db8:100:4::/64</x:v>
      </x:c>
      <x:c r="C16" s="14" t="str">
        <x:v>2001:db8:200:3::1</x:v>
      </x:c>
      <x:c r="D16" s="14" t="str">
        <x:v>EC-02</x:v>
      </x:c>
    </x:row>
    <x:row r="17" ht="38" customHeight="1">
      <x:c r="A17" s="14" t="str">
        <x:v>D02O</x:v>
      </x:c>
      <x:c r="B17" s="14" t="str">
        <x:v>2001:db8:300:1::138/128</x:v>
      </x:c>
      <x:c r="C17" s="14" t="str">
        <x:v>2001:db8:200:3::1</x:v>
      </x:c>
      <x:c r="D17" s="14" t="str">
        <x:v>EC-02</x:v>
      </x:c>
    </x:row>
    <x:row r="18" ht="38" customHeight="1">
      <x:c r="A18" s="14" t="str">
        <x:v>D02O</x:v>
      </x:c>
      <x:c r="B18" s="14" t="str">
        <x:v>2001:db8:300:1::139/128</x:v>
      </x:c>
      <x:c r="C18" s="14" t="str">
        <x:v>2001:db8:200:3::1</x:v>
      </x:c>
      <x:c r="D18" s="14" t="str">
        <x:v>EC-02</x:v>
      </x:c>
    </x:row>
    <x:row r="19" ht="38" customHeight="1">
      <x:c r="A19" s="14" t="str">
        <x:v>D02O</x:v>
      </x:c>
      <x:c r="B19" s="14" t="str">
        <x:v>2001:db8:300:1::140/128</x:v>
      </x:c>
      <x:c r="C19" s="14" t="str">
        <x:v>2001:db8:200:3::1</x:v>
      </x:c>
      <x:c r="D19" s="14" t="str">
        <x:v>EC-02</x:v>
      </x:c>
    </x:row>
    <x:row r="20" ht="38" customHeight="1">
      <x:c r="A20" s="14" t="str">
        <x:v>D02O</x:v>
      </x:c>
      <x:c r="B20" s="14" t="str">
        <x:v>2001:db8:300:1::141/128</x:v>
      </x:c>
      <x:c r="C20" s="14" t="str">
        <x:v>2001:db8:200:3::1</x:v>
      </x:c>
      <x:c r="D20" s="14" t="str">
        <x:v>EC-02</x:v>
      </x:c>
    </x:row>
    <x:row r="21" ht="38" customHeight="1">
      <x:c r="A21" s="14" t="str">
        <x:v>D02R</x:v>
      </x:c>
      <x:c r="B21" s="14" t="str">
        <x:v>2001:db8:100:3::/64</x:v>
      </x:c>
      <x:c r="C21" s="14" t="str">
        <x:v>2001:db8:200:4::1</x:v>
      </x:c>
      <x:c r="D21" s="14" t="str">
        <x:v>EC-02</x:v>
      </x:c>
    </x:row>
    <x:row r="22" ht="38" customHeight="1">
      <x:c r="A22" s="14" t="str">
        <x:v>D02R</x:v>
      </x:c>
      <x:c r="B22" s="14" t="str">
        <x:v>2001:db8:300:1::138/128</x:v>
      </x:c>
      <x:c r="C22" s="14" t="str">
        <x:v>2001:db8:200:4::1</x:v>
      </x:c>
      <x:c r="D22" s="14" t="str">
        <x:v>EC-02</x:v>
      </x:c>
    </x:row>
    <x:row r="23" ht="38" customHeight="1">
      <x:c r="A23" s="14" t="str">
        <x:v>D02R</x:v>
      </x:c>
      <x:c r="B23" s="14" t="str">
        <x:v>2001:db8:300:1::139/128</x:v>
      </x:c>
      <x:c r="C23" s="14" t="str">
        <x:v>2001:db8:200:4::1</x:v>
      </x:c>
      <x:c r="D23" s="14" t="str">
        <x:v>EC-02</x:v>
      </x:c>
    </x:row>
    <x:row r="24" ht="38" customHeight="1">
      <x:c r="A24" s="14" t="str">
        <x:v>D02R</x:v>
      </x:c>
      <x:c r="B24" s="14" t="str">
        <x:v>2001:db8:300:1::140/128</x:v>
      </x:c>
      <x:c r="C24" s="14" t="str">
        <x:v>2001:db8:200:4::1</x:v>
      </x:c>
      <x:c r="D24" s="14" t="str">
        <x:v>EC-02</x:v>
      </x:c>
    </x:row>
    <x:row r="25" ht="38" customHeight="1">
      <x:c r="A25" s="14" t="str">
        <x:v>D02R</x:v>
      </x:c>
      <x:c r="B25" s="14" t="str">
        <x:v>2001:db8:300:1::141/128</x:v>
      </x:c>
      <x:c r="C25" s="14" t="str">
        <x:v>2001:db8:200:4::1</x:v>
      </x:c>
      <x:c r="D25" s="14" t="str">
        <x:v>EC-02</x:v>
      </x:c>
    </x:row>
    <x:row r="26" ht="38" customHeight="1">
      <x:c r="A26" s="14" t="str">
        <x:v>EC-01</x:v>
      </x:c>
      <x:c r="B26" s="14" t="str">
        <x:v>2001:db8:100:1::/64</x:v>
      </x:c>
      <x:c r="C26" s="14" t="str">
        <x:v>2001:db8:200:1::2</x:v>
      </x:c>
      <x:c r="D26" s="14" t="str">
        <x:v>D01O</x:v>
      </x:c>
    </x:row>
    <x:row r="27" ht="38" customHeight="1">
      <x:c r="A27" s="14" t="str">
        <x:v>EC-01</x:v>
      </x:c>
      <x:c r="B27" s="14" t="str">
        <x:v>2001:db8:100:2::/64</x:v>
      </x:c>
      <x:c r="C27" s="14" t="str">
        <x:v>2001:db8:200:2::2</x:v>
      </x:c>
      <x:c r="D27" s="14" t="str">
        <x:v>D01R</x:v>
      </x:c>
    </x:row>
    <x:row r="28" ht="38" customHeight="1">
      <x:c r="A28" s="14" t="str">
        <x:v>EC-02</x:v>
      </x:c>
      <x:c r="B28" s="14" t="str">
        <x:v>2001:db8:100:3::/64</x:v>
      </x:c>
      <x:c r="C28" s="14" t="str">
        <x:v>2001:db8:200:3::2</x:v>
      </x:c>
      <x:c r="D28" s="14" t="str">
        <x:v>D02O</x:v>
      </x:c>
    </x:row>
    <x:row r="29" ht="38" customHeight="1">
      <x:c r="A29" s="14" t="str">
        <x:v>EC-02</x:v>
      </x:c>
      <x:c r="B29" s="14" t="str">
        <x:v>2001:db8:100:4::/64</x:v>
      </x:c>
      <x:c r="C29" s="14" t="str">
        <x:v>2001:db8:200:4::2</x:v>
      </x:c>
      <x:c r="D29" s="14" t="str">
        <x:v>D02R</x:v>
      </x:c>
    </x:row>
    <x:row r="30" ht="38" customHeight="1">
      <x:c r="A30" s="14" t="str">
        <x:v>EC-01</x:v>
      </x:c>
      <x:c r="B30" s="14" t="str">
        <x:v>2001:db8:300:1::138/128</x:v>
      </x:c>
      <x:c r="C30" s="14" t="str">
        <x:v>2001:db8:200:5::2</x:v>
      </x:c>
      <x:c r="D30" s="14" t="str">
        <x:v>SE-01</x:v>
      </x:c>
    </x:row>
    <x:row r="31" ht="38" customHeight="1">
      <x:c r="A31" s="14" t="str">
        <x:v>EC-01</x:v>
      </x:c>
      <x:c r="B31" s="14" t="str">
        <x:v>2001:db8:300:1::139/128</x:v>
      </x:c>
      <x:c r="C31" s="14" t="str">
        <x:v>2001:db8:200:5::2</x:v>
      </x:c>
      <x:c r="D31" s="14" t="str">
        <x:v>SE-01</x:v>
      </x:c>
    </x:row>
    <x:row r="32" ht="38" customHeight="1">
      <x:c r="A32" s="14" t="str">
        <x:v>EC-01</x:v>
      </x:c>
      <x:c r="B32" s="14" t="str">
        <x:v>2001:db8:300:1::140/128</x:v>
      </x:c>
      <x:c r="C32" s="14" t="str">
        <x:v>2001:db8:200:5::2</x:v>
      </x:c>
      <x:c r="D32" s="14" t="str">
        <x:v>SE-01</x:v>
      </x:c>
    </x:row>
    <x:row r="33" ht="38" customHeight="1">
      <x:c r="A33" s="14" t="str">
        <x:v>EC-01</x:v>
      </x:c>
      <x:c r="B33" s="14" t="str">
        <x:v>2001:db8:300:1::141/128</x:v>
      </x:c>
      <x:c r="C33" s="14" t="str">
        <x:v>2001:db8:200:5::2</x:v>
      </x:c>
      <x:c r="D33" s="14" t="str">
        <x:v>SE-01</x:v>
      </x:c>
    </x:row>
    <x:row r="34" ht="38" customHeight="1">
      <x:c r="A34" s="14" t="str">
        <x:v>EC-02</x:v>
      </x:c>
      <x:c r="B34" s="14" t="str">
        <x:v>2001:db8:300:1::138/128</x:v>
      </x:c>
      <x:c r="C34" s="14" t="str">
        <x:v>2001:db8:200:6::2</x:v>
      </x:c>
      <x:c r="D34" s="14" t="str">
        <x:v>SE-02</x:v>
      </x:c>
    </x:row>
    <x:row r="35" ht="38" customHeight="1">
      <x:c r="A35" s="14" t="str">
        <x:v>EC-02</x:v>
      </x:c>
      <x:c r="B35" s="14" t="str">
        <x:v>2001:db8:300:1::139/128</x:v>
      </x:c>
      <x:c r="C35" s="14" t="str">
        <x:v>2001:db8:200:6::2</x:v>
      </x:c>
      <x:c r="D35" s="14" t="str">
        <x:v>SE-02</x:v>
      </x:c>
    </x:row>
    <x:row r="36" ht="38" customHeight="1">
      <x:c r="A36" s="14" t="str">
        <x:v>EC-02</x:v>
      </x:c>
      <x:c r="B36" s="14" t="str">
        <x:v>2001:db8:300:1::140/128</x:v>
      </x:c>
      <x:c r="C36" s="14" t="str">
        <x:v>2001:db8:200:6::2</x:v>
      </x:c>
      <x:c r="D36" s="14" t="str">
        <x:v>SE-02</x:v>
      </x:c>
    </x:row>
    <x:row r="37" ht="38" customHeight="1">
      <x:c r="A37" s="14" t="str">
        <x:v>EC-02</x:v>
      </x:c>
      <x:c r="B37" s="14" t="str">
        <x:v>2001:db8:300:1::141/128</x:v>
      </x:c>
      <x:c r="C37" s="14" t="str">
        <x:v>2001:db8:200:6::2</x:v>
      </x:c>
      <x:c r="D37" s="14" t="str">
        <x:v>SE-02</x:v>
      </x:c>
    </x:row>
    <x:row r="38" ht="38" customHeight="1">
      <x:c r="A38" s="14" t="str">
        <x:v>SE-01</x:v>
      </x:c>
      <x:c r="B38" s="14" t="str">
        <x:v>2001:db8:100:1::/64</x:v>
      </x:c>
      <x:c r="C38" s="14" t="str">
        <x:v>2001:db8:200:5::1</x:v>
      </x:c>
      <x:c r="D38" s="14" t="str">
        <x:v>EC-01</x:v>
      </x:c>
    </x:row>
    <x:row r="39" ht="38" customHeight="1">
      <x:c r="A39" s="14" t="str">
        <x:v>SE-01</x:v>
      </x:c>
      <x:c r="B39" s="14" t="str">
        <x:v>2001:db8:100:2::/64</x:v>
      </x:c>
      <x:c r="C39" s="14" t="str">
        <x:v>2001:db8:200:5::1</x:v>
      </x:c>
      <x:c r="D39" s="14" t="str">
        <x:v>EC-01</x:v>
      </x:c>
    </x:row>
    <x:row r="40" ht="38" customHeight="1">
      <x:c r="A40" s="14" t="str">
        <x:v>SE-02</x:v>
      </x:c>
      <x:c r="B40" s="14" t="str">
        <x:v>2001:db8:100:3::/64</x:v>
      </x:c>
      <x:c r="C40" s="14" t="str">
        <x:v>2001:db8:200:6::1</x:v>
      </x:c>
      <x:c r="D40" s="14" t="str">
        <x:v>EC-02</x:v>
      </x:c>
    </x:row>
    <x:row r="41" ht="38" customHeight="1">
      <x:c r="A41" s="14" t="str">
        <x:v>SE-02</x:v>
      </x:c>
      <x:c r="B41" s="14" t="str">
        <x:v>2001:db8:100:4::/64</x:v>
      </x:c>
      <x:c r="C41" s="14" t="str">
        <x:v>2001:db8:200:6::1</x:v>
      </x:c>
      <x:c r="D41" s="14" t="str">
        <x:v>EC-02</x:v>
      </x:c>
    </x:row>
    <x:row r="42" ht="38" customHeight="1">
      <x:c r="A42" s="14" t="str">
        <x:v>Service endpoint</x:v>
      </x:c>
      <x:c r="B42" s="14" t="str">
        <x:v>2001:db8:100:1::/64</x:v>
      </x:c>
      <x:c r="C42" s="14" t="str">
        <x:v>2001:db8:300:1::129</x:v>
      </x:c>
      <x:c r="D42" s="14" t="str">
        <x:v>SE-01</x:v>
      </x:c>
    </x:row>
    <x:row r="43" ht="38" customHeight="1">
      <x:c r="A43" s="14" t="str">
        <x:v>Service endpoint</x:v>
      </x:c>
      <x:c r="B43" s="14" t="str">
        <x:v>2001:db8:100:2::/64</x:v>
      </x:c>
      <x:c r="C43" s="14" t="str">
        <x:v>2001:db8:300:1::129</x:v>
      </x:c>
      <x:c r="D43" s="14" t="str">
        <x:v>SE-01</x:v>
      </x:c>
    </x:row>
    <x:row r="44" ht="38" customHeight="1">
      <x:c r="A44" s="14" t="str">
        <x:v>Service endpoint</x:v>
      </x:c>
      <x:c r="B44" s="14" t="str">
        <x:v>2001:db8:100:3::/64</x:v>
      </x:c>
      <x:c r="C44" s="14" t="str">
        <x:v>2001:db8:300:1::130</x:v>
      </x:c>
      <x:c r="D44" s="14" t="str">
        <x:v>SE-02</x:v>
      </x:c>
    </x:row>
    <x:row r="45" ht="38" customHeight="1">
      <x:c r="A45" s="14" t="str">
        <x:v>Service endpoint</x:v>
      </x:c>
      <x:c r="B45" s="14" t="str">
        <x:v>2001:db8:100:4::/64</x:v>
      </x:c>
      <x:c r="C45" s="14" t="str">
        <x:v>2001:db8:300:1::130</x:v>
      </x:c>
      <x:c r="D45" s="14" t="str">
        <x:v>SE-02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11b1edafc3a7411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8" hidden="0" customWidth="1"/>
  </x:cols>
  <x:sheetData>
    <x:row r="1" ht="30" customHeight="1">
      <x:c r="A1" s="3" t="str">
        <x:v>EXAMPLE ONLY | Illustrative service permissions</x:v>
      </x:c>
      <x:c r="B1" s="3"/>
      <x:c r="C1" s="3"/>
    </x:row>
    <x:row r="2" ht="20" customHeight="1">
      <x:c r="A2" s="8" t="str">
        <x:v>Frozen WD v1.4 companion schedule, unchanged. Addresses and next hops are documentation values, not site allocations or proof of native support.</x:v>
      </x:c>
      <x:c r="B2" s="8"/>
      <x:c r="C2" s="8"/>
    </x:row>
    <x:row r="3" ht="20" customHeight="1">
      <x:c r="A3" s="8"/>
      <x:c r="B3" s="8"/>
      <x:c r="C3" s="8"/>
    </x:row>
    <x:row r="5" ht="32" customHeight="1">
      <x:c r="A5" s="19" t="str">
        <x:v>Flow</x:v>
      </x:c>
      <x:c r="B5" s="19" t="str">
        <x:v>Destination And Operation</x:v>
      </x:c>
      <x:c r="C5" s="19" t="str">
        <x:v>Restriction</x:v>
      </x:c>
    </x:row>
    <x:row r="6" ht="38" customHeight="1">
      <x:c r="A6" s="14" t="str">
        <x:v>F14-01 / processor-01</x:v>
      </x:c>
      <x:c r="B6" s="14" t="str">
        <x:v>data-01, TCP/443, endpoint TLS validation</x:v>
      </x:c>
      <x:c r="C6" s="14" t="str">
        <x:v>New reverse initiation and other tenant data endpoints denied.</x:v>
      </x:c>
    </x:row>
    <x:row r="7" ht="38" customHeight="1">
      <x:c r="A7" s="14" t="str">
        <x:v>F14-02 / processor-02</x:v>
      </x:c>
      <x:c r="B7" s="14" t="str">
        <x:v>data-02, TCP/443, same service semantics</x:v>
      </x:c>
      <x:c r="C7" s="14" t="str">
        <x:v>Policy is independent of F14-01.</x:v>
      </x:c>
    </x:row>
    <x:row r="8" ht="48" customHeight="1">
      <x:c r="A8" s="14" t="str">
        <x:v>F14-03 / entitled tenant endpoints</x:v>
      </x:c>
      <x:c r="B8" s="14" t="str">
        <x:v>Approved resolver .138, UDP/53 and TCP/53</x:v>
      </x:c>
      <x:c r="C8" s="14" t="str">
        <x:v>Other resolvers, zone administration and general provider subnet access denied.</x:v>
      </x:c>
    </x:row>
    <x:row r="9" ht="48" customHeight="1">
      <x:c r="A9" s="14" t="str">
        <x:v>F14-04 / entitled time clients</x:v>
      </x:c>
      <x:c r="B9" s="14" t="str">
        <x:v>Approved time endpoint .139, selected time profile</x:v>
      </x:c>
      <x:c r="C9" s="14" t="str">
        <x:v>Arbitrary external time sources and time-server administration denied.</x:v>
      </x:c>
    </x:row>
    <x:row r="10" ht="48" customHeight="1">
      <x:c r="A10" s="14" t="str">
        <x:v>F14-05 / authenticated senders</x:v>
      </x:c>
      <x:c r="B10" s="14" t="str">
        <x:v>Collector .140, approved ingestion profile</x:v>
      </x:c>
      <x:c r="C10" s="14" t="str">
        <x:v>No collector configuration, cross-tenant search or unrestricted reverse collection.</x:v>
      </x:c>
    </x:row>
    <x:row r="11" ht="38" customHeight="1">
      <x:c r="A11" s="14" t="str">
        <x:v>F14-06 / eligible bootstrap clients</x:v>
      </x:c>
      <x:c r="B11" s="14" t="str">
        <x:v>Repository .141, approved retrieval profile</x:v>
      </x:c>
      <x:c r="C11" s="14" t="str">
        <x:v>No repository publication or unrestricted Internet retrieval.</x:v>
      </x:c>
    </x:row>
    <x:row r="12" ht="38" customHeight="1">
      <x:c r="A12" s="14" t="str">
        <x:v>F14-07 / protection executor</x:v>
      </x:c>
      <x:c r="B12" s="14" t="str">
        <x:v>Named platform capture API and separate data-mover path</x:v>
      </x:c>
      <x:c r="C12" s="14" t="str">
        <x:v>Guest does not inherit API or repository-deletion rights.</x:v>
      </x:c>
    </x:row>
    <x:row r="13" ht="48" customHeight="1">
      <x:c r="A13" s="14" t="str">
        <x:v>F14-08 / storage or workload key client</x:v>
      </x:c>
      <x:c r="B13" s="14" t="str">
        <x:v>KEY-REF, only the actual selected key-use role</x:v>
      </x:c>
      <x:c r="C13" s="14" t="str">
        <x:v>No implicit guest KMS route; key administration and destruction separately controlled.</x:v>
      </x:c>
    </x:row>
    <x:row r="14" ht="48" customHeight="1">
      <x:c r="A14" s="14" t="str">
        <x:v>F14-09 / any base-fixture tenant</x:v>
      </x:c>
      <x:c r="B14" s="14" t="str">
        <x:v>No public ingress or general Internet egress</x:v>
      </x:c>
      <x:c r="C14" s="14" t="str">
        <x:v>Public PAZ and partner connectivity require a separately qualified service extension.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f9364f608ba9450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8" hidden="0" customWidth="1"/>
    <x:col min="3" max="3" width="38" hidden="0" customWidth="1"/>
  </x:cols>
  <x:sheetData>
    <x:row r="1" ht="30" customHeight="1">
      <x:c r="A1" s="3" t="str">
        <x:v>EXAMPLE ONLY | Illustrative handoff inventory</x:v>
      </x:c>
      <x:c r="B1" s="3"/>
      <x:c r="C1" s="3"/>
    </x:row>
    <x:row r="2" ht="20" customHeight="1">
      <x:c r="A2" s="8" t="str">
        <x:v>Frozen WD v1.4 companion schedule, unchanged. Addresses and next hops are documentation values, not site allocations or proof of native support.</x:v>
      </x:c>
      <x:c r="B2" s="8"/>
      <x:c r="C2" s="8"/>
    </x:row>
    <x:row r="3" ht="20" customHeight="1">
      <x:c r="A3" s="8"/>
      <x:c r="B3" s="8"/>
      <x:c r="C3" s="8"/>
    </x:row>
    <x:row r="5" ht="32" customHeight="1">
      <x:c r="A5" s="19" t="str">
        <x:v>Handoff</x:v>
      </x:c>
      <x:c r="B5" s="19" t="str">
        <x:v>Example Addresses</x:v>
      </x:c>
      <x:c r="C5" s="19" t="str">
        <x:v>Scope</x:v>
      </x:c>
    </x:row>
    <x:row r="6" ht="38" customHeight="1">
      <x:c r="A6" s="14" t="str">
        <x:v>A01O</x:v>
      </x:c>
      <x:c r="B6" s="14" t="str">
        <x:v>198.51.100.0/30: EC-01 .1; NG-D01O .2</x:v>
      </x:c>
      <x:c r="C6" s="14" t="str">
        <x:v>D01O to EC-01, independent of other domains.</x:v>
      </x:c>
    </x:row>
    <x:row r="7" ht="38" customHeight="1">
      <x:c r="A7" s="14" t="str">
        <x:v>A01R</x:v>
      </x:c>
      <x:c r="B7" s="14" t="str">
        <x:v>198.51.100.4/30: EC-01 .5; NG-D01R .6</x:v>
      </x:c>
      <x:c r="C7" s="14" t="str">
        <x:v>D01R to EC-01; Z01 policy separates OZ and RZ.</x:v>
      </x:c>
    </x:row>
    <x:row r="8" ht="38" customHeight="1">
      <x:c r="A8" s="14" t="str">
        <x:v>A02O</x:v>
      </x:c>
      <x:c r="B8" s="14" t="str">
        <x:v>198.51.100.8/30: EC-02 .9; NG-D02O .10</x:v>
      </x:c>
      <x:c r="C8" s="14" t="str">
        <x:v>D02O to EC-02; no tenant-01 membership.</x:v>
      </x:c>
    </x:row>
    <x:row r="9" ht="38" customHeight="1">
      <x:c r="A9" s="14" t="str">
        <x:v>A02R</x:v>
      </x:c>
      <x:c r="B9" s="14" t="str">
        <x:v>198.51.100.12/30: EC-02 .13; NG-D02R .14</x:v>
      </x:c>
      <x:c r="C9" s="14" t="str">
        <x:v>D02R to EC-02; Z02 policy separates OZ and RZ.</x:v>
      </x:c>
    </x:row>
    <x:row r="10" ht="38" customHeight="1">
      <x:c r="A10" s="14" t="str">
        <x:v>SH-01</x:v>
      </x:c>
      <x:c r="B10" s="14" t="str">
        <x:v>198.51.100.16/30: EC-01 .17; SE-01 .18</x:v>
      </x:c>
      <x:c r="C10" s="14" t="str">
        <x:v>Only tenant-01 approved service flows.</x:v>
      </x:c>
    </x:row>
    <x:row r="11" ht="38" customHeight="1">
      <x:c r="A11" s="14" t="str">
        <x:v>SH-02</x:v>
      </x:c>
      <x:c r="B11" s="14" t="str">
        <x:v>198.51.100.20/30: EC-02 .21; SE-02 .22</x:v>
      </x:c>
      <x:c r="C11" s="14" t="str">
        <x:v>Only tenant-02 approved service flows.</x:v>
      </x:c>
    </x:row>
    <x:row r="12" ht="48" customHeight="1">
      <x:c r="A12" s="14" t="str">
        <x:v>Service-side interfaces</x:v>
      </x:c>
      <x:c r="B12" s="14" t="str">
        <x:v>SE-01 203.0.113.129; SE-02 203.0.113.130</x:v>
      </x:c>
      <x:c r="C12" s="14" t="str">
        <x:v>Provider-controlled SVC-REF; no native tenant gateway shares this segment.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c2b6c674f2de491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40" hidden="0" customWidth="1"/>
    <x:col min="4" max="4" width="43" hidden="0" customWidth="1"/>
    <x:col min="5" max="5" width="32" hidden="0" customWidth="1"/>
    <x:col min="6" max="6" width="27" hidden="0" customWidth="1"/>
    <x:col min="7" max="7" width="38" hidden="0" customWidth="1"/>
  </x:cols>
  <x:sheetData>
    <x:row r="1" ht="30" customHeight="1">
      <x:c r="A1" s="3" t="str">
        <x:v>Actual service, recovery and evidence parameters</x:v>
      </x:c>
      <x:c r="B1" s="3"/>
      <x:c r="C1" s="3"/>
      <x:c r="D1" s="3"/>
      <x:c r="E1" s="3"/>
      <x:c r="F1" s="3"/>
      <x:c r="G1" s="3"/>
    </x:row>
    <x:row r="2" ht="20" customHeight="1">
      <x:c r="A2" s="8" t="str">
        <x:v>All actual values remain unresolved. Do not adopt historical numerical examples without owner approval and measured feasibility.</x:v>
      </x:c>
      <x:c r="B2" s="8"/>
      <x:c r="C2" s="8"/>
      <x:c r="D2" s="8"/>
      <x:c r="E2" s="8"/>
      <x:c r="F2" s="8"/>
      <x:c r="G2" s="8"/>
    </x:row>
    <x:row r="3" ht="20" customHeight="1">
      <x:c r="A3" s="8"/>
      <x:c r="B3" s="8"/>
      <x:c r="C3" s="8"/>
      <x:c r="D3" s="8"/>
      <x:c r="E3" s="8"/>
      <x:c r="F3" s="8"/>
      <x:c r="G3" s="8"/>
    </x:row>
    <x:row r="5" ht="32" customHeight="1">
      <x:c r="A5" s="19" t="str">
        <x:v>Parameter</x:v>
      </x:c>
      <x:c r="B5" s="19" t="str">
        <x:v>Actual approved value / unit</x:v>
      </x:c>
      <x:c r="C5" s="19" t="str">
        <x:v>Source / rationale</x:v>
      </x:c>
      <x:c r="D5" s="19" t="str">
        <x:v>Measurement method</x:v>
      </x:c>
      <x:c r="E5" s="19" t="str">
        <x:v>Owner / authority</x:v>
      </x:c>
      <x:c r="F5" s="19" t="str">
        <x:v>Effective / review</x:v>
      </x:c>
      <x:c r="G5" s="19" t="str">
        <x:v>Evidence</x:v>
      </x:c>
    </x:row>
    <x:row r="6" ht="38" customHeight="1">
      <x:c r="A6" s="14" t="str">
        <x:v>Service measurement boundary</x:v>
      </x:c>
      <x:c r="B6" s="22" t="str"/>
      <x:c r="C6" s="22" t="str"/>
      <x:c r="D6" s="22" t="str"/>
      <x:c r="E6" s="22" t="str"/>
      <x:c r="F6" s="22" t="str"/>
      <x:c r="G6" s="22" t="str"/>
    </x:row>
    <x:row r="7" ht="38" customHeight="1">
      <x:c r="A7" s="14" t="str">
        <x:v>Uptime indicator/window/maintenance</x:v>
      </x:c>
      <x:c r="B7" s="22" t="str"/>
      <x:c r="C7" s="22" t="str"/>
      <x:c r="D7" s="22" t="str"/>
      <x:c r="E7" s="22" t="str"/>
      <x:c r="F7" s="22" t="str"/>
      <x:c r="G7" s="22" t="str"/>
    </x:row>
    <x:row r="8" ht="38" customHeight="1">
      <x:c r="A8" s="14" t="str">
        <x:v>Covered node/rack/site failure</x:v>
      </x:c>
      <x:c r="B8" s="22" t="str"/>
      <x:c r="C8" s="22" t="str"/>
      <x:c r="D8" s="22" t="str"/>
      <x:c r="E8" s="22" t="str"/>
      <x:c r="F8" s="22" t="str"/>
      <x:c r="G8" s="22" t="str"/>
    </x:row>
    <x:row r="9" ht="38" customHeight="1">
      <x:c r="A9" s="14" t="str">
        <x:v>RTO start/end scope</x:v>
      </x:c>
      <x:c r="B9" s="22" t="str"/>
      <x:c r="C9" s="22" t="str"/>
      <x:c r="D9" s="22" t="str"/>
      <x:c r="E9" s="22" t="str"/>
      <x:c r="F9" s="22" t="str"/>
      <x:c r="G9" s="22" t="str"/>
    </x:row>
    <x:row r="10" ht="38" customHeight="1">
      <x:c r="A10" s="14" t="str">
        <x:v>RPO consistency/data-loss interval</x:v>
      </x:c>
      <x:c r="B10" s="22" t="str"/>
      <x:c r="C10" s="22" t="str"/>
      <x:c r="D10" s="22" t="str"/>
      <x:c r="E10" s="22" t="str"/>
      <x:c r="F10" s="22" t="str"/>
      <x:c r="G10" s="22" t="str"/>
    </x:row>
    <x:row r="11" ht="38" customHeight="1">
      <x:c r="A11" s="14" t="str">
        <x:v>Initial required restore proof</x:v>
      </x:c>
      <x:c r="B11" s="22" t="str"/>
      <x:c r="C11" s="22" t="str"/>
      <x:c r="D11" s="22" t="str"/>
      <x:c r="E11" s="22" t="str"/>
      <x:c r="F11" s="22" t="str"/>
      <x:c r="G11" s="22" t="str"/>
    </x:row>
    <x:row r="12" ht="38" customHeight="1">
      <x:c r="A12" s="14" t="str">
        <x:v>Continuing recovery cadence</x:v>
      </x:c>
      <x:c r="B12" s="22" t="str"/>
      <x:c r="C12" s="22" t="str"/>
      <x:c r="D12" s="22" t="str"/>
      <x:c r="E12" s="22" t="str"/>
      <x:c r="F12" s="22" t="str"/>
      <x:c r="G12" s="22" t="str"/>
    </x:row>
    <x:row r="13" ht="38" customHeight="1">
      <x:c r="A13" s="14" t="str">
        <x:v>Evidence freshness after change</x:v>
      </x:c>
      <x:c r="B13" s="22" t="str"/>
      <x:c r="C13" s="22" t="str"/>
      <x:c r="D13" s="22" t="str"/>
      <x:c r="E13" s="22" t="str"/>
      <x:c r="F13" s="22" t="str"/>
      <x:c r="G13" s="22" t="str"/>
    </x:row>
    <x:row r="14" ht="38" customHeight="1">
      <x:c r="A14" s="14" t="str">
        <x:v>Copy retention / hold</x:v>
      </x:c>
      <x:c r="B14" s="22" t="str"/>
      <x:c r="C14" s="22" t="str"/>
      <x:c r="D14" s="22" t="str"/>
      <x:c r="E14" s="22" t="str"/>
      <x:c r="F14" s="22" t="str"/>
      <x:c r="G14" s="22" t="str"/>
    </x:row>
    <x:row r="15" ht="38" customHeight="1">
      <x:c r="A15" s="14" t="str">
        <x:v>Key lifetime / custody</x:v>
      </x:c>
      <x:c r="B15" s="22" t="str"/>
      <x:c r="C15" s="22" t="str"/>
      <x:c r="D15" s="22" t="str"/>
      <x:c r="E15" s="22" t="str"/>
      <x:c r="F15" s="22" t="str"/>
      <x:c r="G15" s="22" t="str"/>
    </x:row>
    <x:row r="16" ht="38" customHeight="1">
      <x:c r="A16" s="14" t="str">
        <x:v>Logging loss/buffering</x:v>
      </x:c>
      <x:c r="B16" s="22" t="str"/>
      <x:c r="C16" s="22" t="str"/>
      <x:c r="D16" s="22" t="str"/>
      <x:c r="E16" s="22" t="str"/>
      <x:c r="F16" s="22" t="str"/>
      <x:c r="G16" s="22" t="str"/>
    </x:row>
    <x:row r="17" ht="38" customHeight="1">
      <x:c r="A17" s="14" t="str">
        <x:v>Failback and writer control</x:v>
      </x:c>
      <x:c r="B17" s="22" t="str"/>
      <x:c r="C17" s="22" t="str"/>
      <x:c r="D17" s="22" t="str"/>
      <x:c r="E17" s="22" t="str"/>
      <x:c r="F17" s="22" t="str"/>
      <x:c r="G17" s="22" t="str"/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e2a7bf03c166404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8" t="str">
        <x:v>ENGINEERING KIT | BUILD SCHEDULES</x:v>
      </x:c>
      <x:c r="B1" s="38"/>
      <x:c r="C1" s="38"/>
      <x:c r="D1" s="38"/>
      <x:c r="E1" s="38"/>
      <x:c r="F1" s="38"/>
      <x:c r="G1" s="38"/>
      <x:c r="H1" s="38"/>
    </x:row>
    <x:row r="2" ht="25" customHeight="1">
      <x:c r="A2" s="42" t="str">
        <x:v>Keep actual site records separate from EX_ illustrative sheets. Teal cells are working inputs; calculations provide arithmetic screens only. Unknown support and empty inputs remain visible.</x:v>
      </x:c>
      <x:c r="B2" s="42"/>
      <x:c r="C2" s="42"/>
      <x:c r="D2" s="42"/>
      <x:c r="E2" s="42"/>
      <x:c r="F2" s="42"/>
      <x:c r="G2" s="42"/>
      <x:c r="H2" s="42"/>
    </x:row>
    <x:row r="3" ht="25" customHeight="1">
      <x:c r="A3" s="42"/>
      <x:c r="B3" s="42"/>
      <x:c r="C3" s="42"/>
      <x:c r="D3" s="42"/>
      <x:c r="E3" s="42"/>
      <x:c r="F3" s="42"/>
      <x:c r="G3" s="42"/>
      <x:c r="H3" s="42"/>
    </x:row>
    <x:row r="5" ht="28" customHeight="1">
      <x:c r="A5" s="50" t="str">
        <x:v>Engineering deliverables</x:v>
      </x:c>
      <x:c r="B5" s="50"/>
      <x:c r="C5" s="50"/>
      <x:c r="D5" s="50"/>
      <x:c r="E5" s="51" t="n">
        <x:f>COUNTA(Deliverables!A6:A14)</x:f>
        <x:v>9</x:v>
      </x:c>
      <x:c r="F5" s="51"/>
      <x:c r="G5" s="52"/>
      <x:c r="H5" s="52"/>
    </x:row>
    <x:row r="6" ht="28" customHeight="1">
      <x:c r="A6" s="50" t="str">
        <x:v>Accepted records entered</x:v>
      </x:c>
      <x:c r="B6" s="50"/>
      <x:c r="C6" s="50"/>
      <x:c r="D6" s="50"/>
      <x:c r="E6" s="51" t="n">
        <x:f>COUNTIF(Deliverables!F6:F14,"Accepted")</x:f>
        <x:v>0</x:v>
      </x:c>
      <x:c r="F6" s="51"/>
      <x:c r="G6" s="52"/>
      <x:c r="H6" s="52"/>
    </x:row>
    <x:row r="7" ht="28" customHeight="1">
      <x:c r="A7" s="50" t="str">
        <x:v>Unqualified stack records</x:v>
      </x:c>
      <x:c r="B7" s="50"/>
      <x:c r="C7" s="50"/>
      <x:c r="D7" s="50"/>
      <x:c r="E7" s="51" t="n">
        <x:f>COUNTIF(Stack_Tuples!J6:J15,"Unqualified")</x:f>
        <x:v>10</x:v>
      </x:c>
      <x:c r="F7" s="51"/>
      <x:c r="G7" s="52"/>
      <x:c r="H7" s="52"/>
    </x:row>
    <x:row r="8" ht="28" customHeight="1">
      <x:c r="A8" s="50" t="str">
        <x:v>Unknown operation dispositions</x:v>
      </x:c>
      <x:c r="B8" s="50"/>
      <x:c r="C8" s="50"/>
      <x:c r="D8" s="50"/>
      <x:c r="E8" s="51" t="n">
        <x:f>COUNTIF(Operation_Coverage!D6:J20,"Unknown")</x:f>
        <x:v>105</x:v>
      </x:c>
      <x:c r="F8" s="51"/>
      <x:c r="G8" s="52"/>
      <x:c r="H8" s="52"/>
    </x:row>
    <x:row r="9">
      <x:c r="A9" s="52"/>
      <x:c r="B9" s="52"/>
      <x:c r="C9" s="52"/>
      <x:c r="D9" s="52"/>
      <x:c r="E9" s="52"/>
      <x:c r="F9" s="52"/>
      <x:c r="G9" s="52"/>
      <x:c r="H9" s="52"/>
    </x:row>
    <x:row r="10" ht="46" customHeight="1">
      <x:c r="A10" s="42" t="str">
        <x:v>1 • Actual design</x:v>
      </x:c>
      <x:c r="B10" s="42"/>
      <x:c r="C10" s="42" t="str">
        <x:v>Complete the LLD Word template with site, physical, routing, data, management and failure records.</x:v>
      </x:c>
      <x:c r="D10" s="42"/>
      <x:c r="E10" s="42"/>
      <x:c r="F10" s="42"/>
      <x:c r="G10" s="42"/>
      <x:c r="H10" s="42"/>
    </x:row>
    <x:row r="11" ht="46" customHeight="1">
      <x:c r="A11" s="42" t="str">
        <x:v>2 • Supported tuple</x:v>
      </x:c>
      <x:c r="B11" s="42"/>
      <x:c r="C11" s="42" t="str">
        <x:v>Populate Stack_Tuples and Operation_Coverage, including native owners and unsupported operations.</x:v>
      </x:c>
      <x:c r="D11" s="42"/>
      <x:c r="E11" s="42"/>
      <x:c r="F11" s="42"/>
      <x:c r="G11" s="42"/>
      <x:c r="H11" s="42"/>
    </x:row>
    <x:row r="12" ht="46" customHeight="1">
      <x:c r="A12" s="42" t="str">
        <x:v>3 • Capacity</x:v>
      </x:c>
      <x:c r="B12" s="42"/>
      <x:c r="C12" s="42" t="str">
        <x:v>Use Capacity_Calc and MTU_Calc with measured actual inputs. Empty fields deliberately do not produce a fit.</x:v>
      </x:c>
      <x:c r="D12" s="42"/>
      <x:c r="E12" s="42"/>
      <x:c r="F12" s="42"/>
      <x:c r="G12" s="42"/>
      <x:c r="H12" s="42"/>
    </x:row>
    <x:row r="13" ht="46" customHeight="1">
      <x:c r="A13" s="42" t="str">
        <x:v>4 • Examples</x:v>
      </x:c>
      <x:c r="B13" s="42"/>
      <x:c r="C13" s="42" t="str">
        <x:v>EX_ sheets contain WD schedules and labelled new arithmetic examples. Never use them as operational allocations.</x:v>
      </x:c>
      <x:c r="D13" s="42"/>
      <x:c r="E13" s="42"/>
      <x:c r="F13" s="42"/>
      <x:c r="G13" s="42"/>
      <x:c r="H13" s="42"/>
    </x:row>
    <x:row r="14" ht="46" customHeight="1">
      <x:c r="A14" s="42" t="str">
        <x:v>5 • Release</x:v>
      </x:c>
      <x:c r="B14" s="42"/>
      <x:c r="C14" s="42" t="str">
        <x:v>Link each build and verification procedure to approved artifacts, safe stops and evidence.</x:v>
      </x:c>
      <x:c r="D14" s="42"/>
      <x:c r="E14" s="42"/>
      <x:c r="F14" s="42"/>
      <x:c r="G14" s="42"/>
      <x:c r="H14" s="42"/>
    </x:row>
    <x:row r="15" ht="46" customHeight="1">
      <x:c r="A15" s="42" t="str">
        <x:v>Sources</x:v>
      </x:c>
      <x:c r="B15" s="42"/>
      <x:c r="C15" s="42" t="str">
        <x:v>Baseline: 05_Reference_v1_4; new support check KIT-TN-01 and source K09 apply to the actual NSX tuple.</x:v>
      </x:c>
      <x:c r="D15" s="42"/>
      <x:c r="E15" s="42"/>
      <x:c r="F15" s="42"/>
      <x:c r="G15" s="42"/>
      <x:c r="H15" s="42"/>
    </x:row>
    <x:row r="16">
      <x:c r="A16" s="52"/>
      <x:c r="B16" s="52"/>
      <x:c r="C16" s="52"/>
      <x:c r="D16" s="52"/>
      <x:c r="E16" s="52"/>
      <x:c r="F16" s="52"/>
      <x:c r="G16" s="52"/>
      <x:c r="H16" s="52"/>
    </x:row>
    <x:row r="17">
      <x:c r="A17" s="52"/>
      <x:c r="B17" s="52"/>
      <x:c r="C17" s="52"/>
      <x:c r="D17" s="52"/>
      <x:c r="E17" s="52"/>
      <x:c r="F17" s="52"/>
      <x:c r="G17" s="52"/>
      <x:c r="H17" s="52"/>
    </x:row>
    <x:row r="18">
      <x:c r="A18" s="52"/>
      <x:c r="B18" s="52"/>
      <x:c r="C18" s="52"/>
      <x:c r="D18" s="52"/>
      <x:c r="E18" s="52"/>
      <x:c r="F18" s="52"/>
      <x:c r="G18" s="52"/>
      <x:c r="H18" s="52"/>
    </x:row>
    <x:row r="19">
      <x:c r="A19" s="52"/>
      <x:c r="B19" s="52"/>
      <x:c r="C19" s="52"/>
      <x:c r="D19" s="52"/>
      <x:c r="E19" s="52"/>
      <x:c r="F19" s="52"/>
      <x:c r="G19" s="52"/>
      <x:c r="H19" s="52"/>
    </x:row>
    <x:row r="20">
      <x:c r="A20" s="52"/>
      <x:c r="B20" s="52"/>
      <x:c r="C20" s="52"/>
      <x:c r="D20" s="52"/>
      <x:c r="E20" s="52"/>
      <x:c r="F20" s="52"/>
      <x:c r="G20" s="52"/>
      <x:c r="H20" s="52"/>
    </x:row>
  </x:sheetData>
  <x:mergeCells>
    <x:mergeCell ref="A1:H1"/>
    <x:mergeCell ref="A2:H3"/>
    <x:mergeCell ref="A5:D5"/>
    <x:mergeCell ref="E5:F5"/>
    <x:mergeCell ref="A6:D6"/>
    <x:mergeCell ref="E6:F6"/>
    <x:mergeCell ref="A7:D7"/>
    <x:mergeCell ref="E7:F7"/>
    <x:mergeCell ref="A8:D8"/>
    <x:mergeCell ref="E8:F8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</x:mergeCells>
  <x:pageMargins left="0.7" right="0.7" top="0.75" bottom="0.75" header="0.3" footer="0.3"/>
</x:worksheet>
</file>