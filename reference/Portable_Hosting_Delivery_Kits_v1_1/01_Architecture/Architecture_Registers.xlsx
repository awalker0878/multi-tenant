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3aa7a9405a48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liverables" sheetId="1" r:id="Rfd7f4f67d3d94879"/>
    <x:sheet xmlns:r="http://schemas.openxmlformats.org/officeDocument/2006/relationships" name="Requirements" sheetId="2" r:id="Rcb1bc8d00fe747e0"/>
    <x:sheet xmlns:r="http://schemas.openxmlformats.org/officeDocument/2006/relationships" name="Decisions" sheetId="3" r:id="R3a5e5a3c86eb4e6e"/>
    <x:sheet xmlns:r="http://schemas.openxmlformats.org/officeDocument/2006/relationships" name="Views" sheetId="4" r:id="R05bfb74ecde74fc9"/>
    <x:sheet xmlns:r="http://schemas.openxmlformats.org/officeDocument/2006/relationships" name="Risk_Workshop" sheetId="5" r:id="Rc09dd7666504449e"/>
    <x:sheet xmlns:r="http://schemas.openxmlformats.org/officeDocument/2006/relationships" name="Control_Allocation" sheetId="6" r:id="R89beae095ed14901"/>
    <x:sheet xmlns:r="http://schemas.openxmlformats.org/officeDocument/2006/relationships" name="Sources" sheetId="7" r:id="R0fe2a64ddd204956"/>
    <x:sheet xmlns:r="http://schemas.openxmlformats.org/officeDocument/2006/relationships" name="Start" sheetId="8" r:id="R10c2514e713d4f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Carlito"/>
    </x:font>
    <x:font>
      <x:sz val="10"/>
      <x:color rgb="FF21333C"/>
      <x:name val="Carlito"/>
    </x:font>
    <x:font>
      <x:sz val="10"/>
      <x:color rgb="FF21333C"/>
      <x:name val="Calibri"/>
    </x:font>
    <x:font>
      <x:b/>
      <x:sz val="10"/>
      <x:color rgb="FFFFFFFF"/>
      <x:name val="Calibri"/>
    </x:font>
    <x:font>
      <x:b/>
      <x:sz val="18"/>
      <x:color rgb="FFFFFFFF"/>
      <x:name val="Carlito"/>
    </x:font>
    <x:font>
      <x:sz val="11"/>
      <x:color rgb="FF21333C"/>
      <x:name val="Carlito"/>
    </x:font>
    <x:font>
      <x:sz val="12"/>
      <x:color rgb="FF21333C"/>
      <x:name val="Carlito"/>
    </x:font>
    <x:font>
      <x:b/>
      <x:sz val="12"/>
      <x:color rgb="FF21333C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84A"/>
      </x:patternFill>
    </x:fill>
    <x:fill>
      <x:patternFill patternType="solid">
        <x:fgColor rgb="FFEAF6F4"/>
      </x:patternFill>
    </x:fill>
    <x:fill>
      <x:patternFill patternType="solid">
        <x:fgColor rgb="FFEEF5F7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0" fillId="4" borderId="1" xfId="0" applyNumberFormat="1" applyFont="1" applyFill="1" applyBorder="1"/>
    <x:xf numFmtId="0" fontId="7" fillId="4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7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2"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  <x:dxf>
      <x:fill>
        <x:patternFill patternType="solid">
          <x:bgColor rgb="FFFDE7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79edab8bc94e8f" /><Relationship Type="http://schemas.openxmlformats.org/officeDocument/2006/relationships/theme" Target="/xl/theme/theme1.xml" Id="Rc9926bbffe9246c3" /><Relationship Type="http://schemas.openxmlformats.org/officeDocument/2006/relationships/sharedStrings" Target="/xl/sharedStrings.xml" Id="Ra3454f0b683449b4" /><Relationship Type="http://schemas.openxmlformats.org/officeDocument/2006/relationships/worksheet" Target="/xl/worksheets/sheet1.xml" Id="Rfd7f4f67d3d94879" /><Relationship Type="http://schemas.openxmlformats.org/officeDocument/2006/relationships/worksheet" Target="/xl/worksheets/sheet2.xml" Id="Rcb1bc8d00fe747e0" /><Relationship Type="http://schemas.openxmlformats.org/officeDocument/2006/relationships/worksheet" Target="/xl/worksheets/sheet3.xml" Id="R3a5e5a3c86eb4e6e" /><Relationship Type="http://schemas.openxmlformats.org/officeDocument/2006/relationships/worksheet" Target="/xl/worksheets/sheet4.xml" Id="R05bfb74ecde74fc9" /><Relationship Type="http://schemas.openxmlformats.org/officeDocument/2006/relationships/worksheet" Target="/xl/worksheets/sheet5.xml" Id="Rc09dd7666504449e" /><Relationship Type="http://schemas.openxmlformats.org/officeDocument/2006/relationships/worksheet" Target="/xl/worksheets/sheet6.xml" Id="R89beae095ed14901" /><Relationship Type="http://schemas.openxmlformats.org/officeDocument/2006/relationships/worksheet" Target="/xl/worksheets/sheet7.xml" Id="R0fe2a64ddd204956" /><Relationship Type="http://schemas.openxmlformats.org/officeDocument/2006/relationships/worksheet" Target="/xl/worksheets/sheet8.xml" Id="R10c2514e713d4fa2" /></Relationships>
</file>

<file path=xl/tables/table1.xml><?xml version="1.0" encoding="utf-8"?>
<x:table xmlns:x="http://schemas.openxmlformats.org/spreadsheetml/2006/main" id="1" name="T_Deliverables" displayName="T_Deliverables" ref="A5:I13" headerRowCount="1" totalsRowCount="0" totalsRowShown="0">
  <x:tableColumns count="9">
    <x:tableColumn id="1" name="ID"/>
    <x:tableColumn id="2" name="Deliverable"/>
    <x:tableColumn id="3" name="Owner role"/>
    <x:tableColumn id="4" name="Actual owner"/>
    <x:tableColumn id="5" name="Gate"/>
    <x:tableColumn id="6" name="Status"/>
    <x:tableColumn id="7" name="Acceptance evidence"/>
    <x:tableColumn id="8" name="Decision reference"/>
    <x:tableColumn id="9" name="Baselin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Requirements" displayName="T_Requirements" ref="A5:K199" headerRowCount="1" totalsRowCount="0" totalsRowShown="0">
  <x:tableColumns count="11">
    <x:tableColumn id="1" name="Requirement ID"/>
    <x:tableColumn id="2" name="Exact inherited wording"/>
    <x:tableColumn id="3" name="Reference owner"/>
    <x:tableColumn id="4" name="Parent sections"/>
    <x:tableColumn id="5" name="Source IDs"/>
    <x:tableColumn id="6" name="Reference tests"/>
    <x:tableColumn id="7" name="Applicability"/>
    <x:tableColumn id="8" name="Actual owner"/>
    <x:tableColumn id="9" name="Design record"/>
    <x:tableColumn id="10" name="Verification assertions"/>
    <x:tableColumn id="11" name="Disposition / excep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Decisions" displayName="T_Decisions" ref="A5:I23" headerRowCount="1" totalsRowCount="0" totalsRowShown="0">
  <x:tableColumns count="9">
    <x:tableColumn id="1" name="ID"/>
    <x:tableColumn id="2" name="Decision to resolve"/>
    <x:tableColumn id="3" name="Owner role"/>
    <x:tableColumn id="4" name="Actual selection"/>
    <x:tableColumn id="5" name="Required basis / evidence"/>
    <x:tableColumn id="6" name="Source home"/>
    <x:tableColumn id="7" name="Decision"/>
    <x:tableColumn id="8" name="Issuer / reference"/>
    <x:tableColumn id="9" name="Blocking gate / condi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Views" displayName="T_Views" ref="A5:H16" headerRowCount="1" totalsRowCount="0" totalsRowShown="0">
  <x:tableColumns count="8">
    <x:tableColumn id="1" name="ID"/>
    <x:tableColumn id="2" name="View"/>
    <x:tableColumn id="3" name="Question answered"/>
    <x:tableColumn id="4" name="Minimum contents"/>
    <x:tableColumn id="5" name="Baseline"/>
    <x:tableColumn id="6" name="Status"/>
    <x:tableColumn id="7" name="Actual artifact / revision"/>
    <x:tableColumn id="8" name="Reviewe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RiskWorkshop" displayName="T_RiskWorkshop" ref="A5:I19" headerRowCount="1" totalsRowCount="0" totalsRowShown="0">
  <x:tableColumns count="9">
    <x:tableColumn id="1" name="ID"/>
    <x:tableColumn id="2" name="Risk prompt"/>
    <x:tableColumn id="3" name="Credible scenario"/>
    <x:tableColumn id="4" name="Owner role"/>
    <x:tableColumn id="5" name="Baseline"/>
    <x:tableColumn id="6" name="Actual applicability"/>
    <x:tableColumn id="7" name="Selected controls"/>
    <x:tableColumn id="8" name="Residual risk / decision"/>
    <x:tableColumn id="9" name="Evidence / review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ControlAllocation" displayName="T_ControlAllocation" ref="A5:I15" headerRowCount="1" totalsRowCount="0" totalsRowShown="0">
  <x:tableColumns count="9">
    <x:tableColumn id="1" name="Area"/>
    <x:tableColumn id="2" name="Catalogue / edition"/>
    <x:tableColumn id="3" name="Selected control / enhancement"/>
    <x:tableColumn id="4" name="Parameters"/>
    <x:tableColumn id="5" name="Provider / tenant / shared"/>
    <x:tableColumn id="6" name="Actual owner"/>
    <x:tableColumn id="7" name="Implementation home"/>
    <x:tableColumn id="8" name="Inherited scope / source"/>
    <x:tableColumn id="9" name="Evidence / assessor disposi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Sources" displayName="T_Sources" ref="A5:D16" headerRowCount="1" totalsRowCount="0" totalsRowShown="0">
  <x:tableColumns count="4">
    <x:tableColumn id="1" name="ID"/>
    <x:tableColumn id="2" name="Title"/>
    <x:tableColumn id="3" name="URL"/>
    <x:tableColumn id="4" name="Review sco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0541e0744048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81b11516b9045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6e2ba27bd4746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72075b58c3645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bc33c4928ba40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924125a6b144c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b68e4d4fc03411f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26" hidden="0" customWidth="1"/>
    <x:col min="4" max="4" width="22" hidden="0" customWidth="1"/>
    <x:col min="5" max="5" width="12" hidden="0" customWidth="1"/>
    <x:col min="6" max="6" width="21" hidden="0" customWidth="1"/>
    <x:col min="7" max="7" width="40" hidden="0" customWidth="1"/>
    <x:col min="8" max="8" width="26" hidden="0" customWidth="1"/>
    <x:col min="9" max="9" width="32" hidden="0" customWidth="1"/>
  </x:cols>
  <x:sheetData>
    <x:row r="1" ht="30" customHeight="1">
      <x:c r="A1" s="3" t="str">
        <x:v>Architecture delivery register</x:v>
      </x:c>
      <x:c r="B1" s="3"/>
      <x:c r="C1" s="3"/>
      <x:c r="D1" s="3"/>
      <x:c r="E1" s="3"/>
      <x:c r="F1" s="3"/>
      <x:c r="G1" s="3"/>
      <x:c r="H1" s="3"/>
      <x:c r="I1" s="3"/>
    </x:row>
    <x:row r="2" ht="20" customHeight="1">
      <x:c r="A2" s="8" t="str">
        <x:v>WORKING RECORD • Proposed kit practice. Accepted status requires a separate attributable decision; workbook entries do not grant authority.</x:v>
      </x:c>
      <x:c r="B2" s="8"/>
      <x:c r="C2" s="8"/>
      <x:c r="D2" s="8"/>
      <x:c r="E2" s="8"/>
      <x:c r="F2" s="8"/>
      <x:c r="G2" s="8"/>
      <x:c r="H2" s="8"/>
      <x:c r="I2" s="8"/>
    </x:row>
    <x:row r="3" ht="20" customHeight="1">
      <x:c r="A3" s="8"/>
      <x:c r="B3" s="8"/>
      <x:c r="C3" s="8"/>
      <x:c r="D3" s="8"/>
      <x:c r="E3" s="8"/>
      <x:c r="F3" s="8"/>
      <x:c r="G3" s="8"/>
      <x:c r="H3" s="8"/>
      <x:c r="I3" s="8"/>
    </x:row>
    <x:row r="5" ht="32" customHeight="1">
      <x:c r="A5" s="19" t="str">
        <x:v>ID</x:v>
      </x:c>
      <x:c r="B5" s="19" t="str">
        <x:v>Deliverable</x:v>
      </x:c>
      <x:c r="C5" s="19" t="str">
        <x:v>Owner role</x:v>
      </x:c>
      <x:c r="D5" s="19" t="str">
        <x:v>Actual owner</x:v>
      </x:c>
      <x:c r="E5" s="19" t="str">
        <x:v>Gate</x:v>
      </x:c>
      <x:c r="F5" s="19" t="str">
        <x:v>Status</x:v>
      </x:c>
      <x:c r="G5" s="19" t="str">
        <x:v>Acceptance evidence</x:v>
      </x:c>
      <x:c r="H5" s="19" t="str">
        <x:v>Decision reference</x:v>
      </x:c>
      <x:c r="I5" s="19" t="str">
        <x:v>Baseline</x:v>
      </x:c>
    </x:row>
    <x:row r="6" ht="48" customHeight="1">
      <x:c r="A6" s="14" t="str">
        <x:v>AK-01</x:v>
      </x:c>
      <x:c r="B6" s="14" t="str">
        <x:v>Mandate, stakeholders and service envelope</x:v>
      </x:c>
      <x:c r="C6" s="14" t="str">
        <x:v>Architecture lead</x:v>
      </x:c>
      <x:c r="D6" s="22" t="str"/>
      <x:c r="E6" s="14" t="str">
        <x:v>G0</x:v>
      </x:c>
      <x:c r="F6" s="22" t="str">
        <x:v>Not started</x:v>
      </x:c>
      <x:c r="G6" s="14" t="str">
        <x:v>Named scope, beneficiaries, exclusions, demand and accountable service owner.</x:v>
      </x:c>
      <x:c r="H6" s="22" t="str"/>
      <x:c r="I6" s="14" t="str">
        <x:v>RA §§1–4</x:v>
      </x:c>
    </x:row>
    <x:row r="7" ht="48" customHeight="1">
      <x:c r="A7" s="14" t="str">
        <x:v>AK-02</x:v>
      </x:c>
      <x:c r="B7" s="14" t="str">
        <x:v>Requirement applicability and acceptance allocation</x:v>
      </x:c>
      <x:c r="C7" s="14" t="str">
        <x:v>Architecture + security</x:v>
      </x:c>
      <x:c r="D7" s="22" t="str"/>
      <x:c r="E7" s="14" t="str">
        <x:v>G0</x:v>
      </x:c>
      <x:c r="F7" s="22" t="str">
        <x:v>Not started</x:v>
      </x:c>
      <x:c r="G7" s="14" t="str">
        <x:v>Every selected baseline requirement has applicability, owner, design home and verification method.</x:v>
      </x:c>
      <x:c r="H7" s="22" t="str"/>
      <x:c r="I7" s="14" t="str">
        <x:v>RA §§1–2, 28</x:v>
      </x:c>
    </x:row>
    <x:row r="8" ht="48" customHeight="1">
      <x:c r="A8" s="14" t="str">
        <x:v>AK-03</x:v>
      </x:c>
      <x:c r="B8" s="14" t="str">
        <x:v>High-level physical, logical and security views</x:v>
      </x:c>
      <x:c r="C8" s="14" t="str">
        <x:v>Infrastructure architect</x:v>
      </x:c>
      <x:c r="D8" s="22" t="str"/>
      <x:c r="E8" s="14" t="str">
        <x:v>G0</x:v>
      </x:c>
      <x:c r="F8" s="22" t="str">
        <x:v>Not started</x:v>
      </x:c>
      <x:c r="G8" s="14" t="str">
        <x:v>Components, connections, trust/authority/failure boundaries, data paths and assumptions are coherent.</x:v>
      </x:c>
      <x:c r="H8" s="22" t="str"/>
      <x:c r="I8" s="14" t="str">
        <x:v>RA §§3–14</x:v>
      </x:c>
    </x:row>
    <x:row r="9" ht="48" customHeight="1">
      <x:c r="A9" s="14" t="str">
        <x:v>AK-04</x:v>
      </x:c>
      <x:c r="B9" s="14" t="str">
        <x:v>Architecture decisions and allowed variations</x:v>
      </x:c>
      <x:c r="C9" s="14" t="str">
        <x:v>Architecture authority</x:v>
      </x:c>
      <x:c r="D9" s="22" t="str"/>
      <x:c r="E9" s="14" t="str">
        <x:v>G0</x:v>
      </x:c>
      <x:c r="F9" s="22" t="str">
        <x:v>Not started</x:v>
      </x:c>
      <x:c r="G9" s="14" t="str">
        <x:v>Alternatives, rationale, consequences, affected requirements and actual decision authority recorded.</x:v>
      </x:c>
      <x:c r="H9" s="22" t="str"/>
      <x:c r="I9" s="14" t="str">
        <x:v>RA §29; GM §4</x:v>
      </x:c>
    </x:row>
    <x:row r="10" ht="48" customHeight="1">
      <x:c r="A10" s="14" t="str">
        <x:v>AK-05</x:v>
      </x:c>
      <x:c r="B10" s="14" t="str">
        <x:v>Threat, co-residency and control responsibility</x:v>
      </x:c>
      <x:c r="C10" s="14" t="str">
        <x:v>Security architect</x:v>
      </x:c>
      <x:c r="D10" s="22" t="str"/>
      <x:c r="E10" s="14" t="str">
        <x:v>G0</x:v>
      </x:c>
      <x:c r="F10" s="22" t="str">
        <x:v>Not started</x:v>
      </x:c>
      <x:c r="G10" s="14" t="str">
        <x:v>Sharing at each layer, credible failures/compromises, residual risks and inherited controls are assigned.</x:v>
      </x:c>
      <x:c r="H10" s="22" t="str"/>
      <x:c r="I10" s="14" t="str">
        <x:v>RA §§6–8, 11–13</x:v>
      </x:c>
    </x:row>
    <x:row r="11" ht="61" customHeight="1">
      <x:c r="A11" s="14" t="str">
        <x:v>AK-06</x:v>
      </x:c>
      <x:c r="B11" s="14" t="str">
        <x:v>Availability, recovery, capacity and location strategy</x:v>
      </x:c>
      <x:c r="C11" s="14" t="str">
        <x:v>Service + data owners</x:v>
      </x:c>
      <x:c r="D11" s="22" t="str"/>
      <x:c r="E11" s="14" t="str">
        <x:v>G0</x:v>
      </x:c>
      <x:c r="F11" s="22" t="str">
        <x:v>Not started</x:v>
      </x:c>
      <x:c r="G11" s="14" t="str">
        <x:v>Offered service boundaries and objectives are separated from categorization; exit and recovery constraints explicit.</x:v>
      </x:c>
      <x:c r="H11" s="22" t="str"/>
      <x:c r="I11" s="14" t="str">
        <x:v>RA §§12–14, 26–27</x:v>
      </x:c>
    </x:row>
    <x:row r="12" ht="48" customHeight="1">
      <x:c r="A12" s="14" t="str">
        <x:v>AK-07</x:v>
      </x:c>
      <x:c r="B12" s="14" t="str">
        <x:v>Vendor realization and provisioning strategy</x:v>
      </x:c>
      <x:c r="C12" s="14" t="str">
        <x:v>Platform architect</x:v>
      </x:c>
      <x:c r="D12" s="22" t="str"/>
      <x:c r="E12" s="14" t="str">
        <x:v>G0</x:v>
      </x:c>
      <x:c r="F12" s="22" t="str">
        <x:v>Not started</x:v>
      </x:c>
      <x:c r="G12" s="14" t="str">
        <x:v>Native realization choices and P0–P6 responsibilities are linked without assuming one universal provider.</x:v>
      </x:c>
      <x:c r="H12" s="22" t="str"/>
      <x:c r="I12" s="14" t="str">
        <x:v>RA §§15–24</x:v>
      </x:c>
    </x:row>
    <x:row r="13" ht="48" customHeight="1">
      <x:c r="A13" s="14" t="str">
        <x:v>AK-08</x:v>
      </x:c>
      <x:c r="B13" s="14" t="str">
        <x:v>Architecture review and engineering handoff</x:v>
      </x:c>
      <x:c r="C13" s="14" t="str">
        <x:v>Architecture authority</x:v>
      </x:c>
      <x:c r="D13" s="22" t="str"/>
      <x:c r="E13" s="14" t="str">
        <x:v>G0</x:v>
      </x:c>
      <x:c r="F13" s="22" t="str">
        <x:v>Not started</x:v>
      </x:c>
      <x:c r="G13" s="14" t="str">
        <x:v>Critical design decisions resolved or blocked by scope; signed disposition and engineering inputs available.</x:v>
      </x:c>
      <x:c r="H13" s="22" t="str"/>
      <x:c r="I13" s="14" t="str">
        <x:v>RA §§28–30</x:v>
      </x:c>
    </x:row>
  </x:sheetData>
  <x:mergeCells>
    <x:mergeCell ref="A1:I1"/>
    <x:mergeCell ref="A2:I3"/>
  </x:mergeCells>
  <x:conditionalFormatting sqref="F6:F13">
    <x:cfRule type="expression" dxfId="0" priority="1">
      <x:formula>F6="Blocked"</x:formula>
    </x:cfRule>
    <x:cfRule type="expression" dxfId="1" priority="2">
      <x:formula>F6="Failed"</x:formula>
    </x:cfRule>
  </x:conditionalFormatting>
  <x:dataValidations count="1">
    <x:dataValidation type="list" sqref="F6:F13">
      <x:formula1>"Not started,In progress,Blocked,Ready for review,Accepted,Not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0541e0744048c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64" hidden="0" customWidth="1"/>
    <x:col min="3" max="3" width="25" hidden="0" customWidth="1"/>
    <x:col min="4" max="4" width="30" hidden="0" customWidth="1"/>
    <x:col min="5" max="5" width="19" hidden="0" customWidth="1"/>
    <x:col min="6" max="6" width="34" hidden="0" customWidth="1"/>
    <x:col min="7" max="7" width="20" hidden="0" customWidth="1"/>
    <x:col min="8" max="8" width="24" hidden="0" customWidth="1"/>
    <x:col min="9" max="9" width="30" hidden="0" customWidth="1"/>
    <x:col min="10" max="10" width="36" hidden="0" customWidth="1"/>
    <x:col min="11" max="11" width="36" hidden="0" customWidth="1"/>
  </x:cols>
  <x:sheetData>
    <x:row r="1" ht="30" customHeight="1">
      <x:c r="A1" s="3" t="str">
        <x:v>194 inherited requirements — applicability and design allocation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0" customHeight="1">
      <x:c r="A2" s="8" t="str">
        <x:v>BASELINE TEXT UNCHANGED • Fill actual applicability, owner, design and verification. Complete control selection is separate; source IDs resolve in the frozen reference.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3" ht="20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</x:row>
    <x:row r="5" ht="32" customHeight="1">
      <x:c r="A5" s="19" t="str">
        <x:v>Requirement ID</x:v>
      </x:c>
      <x:c r="B5" s="19" t="str">
        <x:v>Exact inherited wording</x:v>
      </x:c>
      <x:c r="C5" s="19" t="str">
        <x:v>Reference owner</x:v>
      </x:c>
      <x:c r="D5" s="19" t="str">
        <x:v>Parent sections</x:v>
      </x:c>
      <x:c r="E5" s="19" t="str">
        <x:v>Source IDs</x:v>
      </x:c>
      <x:c r="F5" s="19" t="str">
        <x:v>Reference tests</x:v>
      </x:c>
      <x:c r="G5" s="19" t="str">
        <x:v>Applicability</x:v>
      </x:c>
      <x:c r="H5" s="19" t="str">
        <x:v>Actual owner</x:v>
      </x:c>
      <x:c r="I5" s="19" t="str">
        <x:v>Design record</x:v>
      </x:c>
      <x:c r="J5" s="19" t="str">
        <x:v>Verification assertions</x:v>
      </x:c>
      <x:c r="K5" s="19" t="str">
        <x:v>Disposition / exception</x:v>
      </x:c>
    </x:row>
    <x:row r="6" ht="48" customHeight="1">
      <x:c r="A6" s="14" t="str">
        <x:v>ARCH-001</x:v>
      </x:c>
      <x:c r="B6" s="14" t="str">
        <x:v>The hosting contract SHALL be vendor neutral and SHALL NOT require consumers to specify vendor-specific identifiers or topology objects.</x:v>
      </x:c>
      <x:c r="C6" s="14" t="str">
        <x:v>Architecture authority</x:v>
      </x:c>
      <x:c r="D6" s="14" t="str">
        <x:v>RA §1; RA §2; RA §20</x:v>
      </x:c>
      <x:c r="E6" s="14" t="str">
        <x:v>S00</x:v>
      </x:c>
      <x:c r="F6" s="14" t="str">
        <x:v>CT-016; CT-017</x:v>
      </x:c>
      <x:c r="G6" s="22" t="str">
        <x:v>Unresolved</x:v>
      </x:c>
      <x:c r="H6" s="22" t="str"/>
      <x:c r="I6" s="22" t="str"/>
      <x:c r="J6" s="22" t="str"/>
      <x:c r="K6" s="22" t="str"/>
    </x:row>
    <x:row r="7" ht="48" customHeight="1">
      <x:c r="A7" s="14" t="str">
        <x:v>ARCH-002</x:v>
      </x:c>
      <x:c r="B7" s="14" t="str">
        <x:v>Routine tenant and workload lifecycle operations SHOULD NOT require changes to physical leaf or spine configuration.</x:v>
      </x:c>
      <x:c r="C7" s="14" t="str">
        <x:v>Architecture authority</x:v>
      </x:c>
      <x:c r="D7" s="14" t="str">
        <x:v>RA §1; RA §2; RA §20</x:v>
      </x:c>
      <x:c r="E7" s="14" t="str">
        <x:v>S00</x:v>
      </x:c>
      <x:c r="F7" s="14" t="str">
        <x:v>CT-071; CT-072</x:v>
      </x:c>
      <x:c r="G7" s="22" t="str">
        <x:v>Unresolved</x:v>
      </x:c>
      <x:c r="H7" s="22" t="str"/>
      <x:c r="I7" s="22" t="str"/>
      <x:c r="J7" s="22" t="str"/>
      <x:c r="K7" s="22" t="str"/>
    </x:row>
    <x:row r="8" ht="38" customHeight="1">
      <x:c r="A8" s="14" t="str">
        <x:v>ARCH-003</x:v>
      </x:c>
      <x:c r="B8" s="14" t="str">
        <x:v>All inter-zone paths SHALL be explicit and SHALL traverse the applicable ZIP/security edge.</x:v>
      </x:c>
      <x:c r="C8" s="14" t="str">
        <x:v>Architecture authority</x:v>
      </x:c>
      <x:c r="D8" s="14" t="str">
        <x:v>RA §1; RA §2; RA §20</x:v>
      </x:c>
      <x:c r="E8" s="14" t="str">
        <x:v>S00; S01; S02</x:v>
      </x:c>
      <x:c r="F8" s="14" t="str">
        <x:v>CT-003; CT-025</x:v>
      </x:c>
      <x:c r="G8" s="22" t="str">
        <x:v>Unresolved</x:v>
      </x:c>
      <x:c r="H8" s="22" t="str"/>
      <x:c r="I8" s="22" t="str"/>
      <x:c r="J8" s="22" t="str"/>
      <x:c r="K8" s="22" t="str"/>
    </x:row>
    <x:row r="9" ht="48" customHeight="1">
      <x:c r="A9" s="14" t="str">
        <x:v>ARCH-004</x:v>
      </x:c>
      <x:c r="B9" s="14" t="str">
        <x:v>Management/OOB traffic SHALL be separated from tenant operational traffic and SHALL have independently controlled access paths.</x:v>
      </x:c>
      <x:c r="C9" s="14" t="str">
        <x:v>Architecture authority</x:v>
      </x:c>
      <x:c r="D9" s="14" t="str">
        <x:v>RA §1; RA §2; RA §20</x:v>
      </x:c>
      <x:c r="E9" s="14" t="str">
        <x:v>S00; S01; S02</x:v>
      </x:c>
      <x:c r="F9" s="14" t="str">
        <x:v>CT-004; CT-026</x:v>
      </x:c>
      <x:c r="G9" s="22" t="str">
        <x:v>Unresolved</x:v>
      </x:c>
      <x:c r="H9" s="22" t="str"/>
      <x:c r="I9" s="22" t="str"/>
      <x:c r="J9" s="22" t="str"/>
      <x:c r="K9" s="22" t="str"/>
    </x:row>
    <x:row r="10" ht="61" customHeight="1">
      <x:c r="A10" s="14" t="str">
        <x:v>SCOPE-001</x:v>
      </x:c>
      <x:c r="B10" s="14" t="str">
        <x:v>Every implementation SHALL publish its offered service classes, supported information categories, excluded capabilities and required qualification evidence before accepting a production request.</x:v>
      </x:c>
      <x:c r="C10" s="14" t="str">
        <x:v>Architecture authority</x:v>
      </x:c>
      <x:c r="D10" s="14" t="str">
        <x:v>RA §1; RA §2; RA §20</x:v>
      </x:c>
      <x:c r="E10" s="14" t="str">
        <x:v>S00</x:v>
      </x:c>
      <x:c r="F10" s="14" t="str">
        <x:v>CT-018; CT-062</x:v>
      </x:c>
      <x:c r="G10" s="22" t="str">
        <x:v>Unresolved</x:v>
      </x:c>
      <x:c r="H10" s="22" t="str"/>
      <x:c r="I10" s="22" t="str"/>
      <x:c r="J10" s="22" t="str"/>
      <x:c r="K10" s="22" t="str"/>
    </x:row>
    <x:row r="11" ht="38" customHeight="1">
      <x:c r="A11" s="14" t="str">
        <x:v>INV-001</x:v>
      </x:c>
      <x:c r="B11" s="14" t="str">
        <x:v>Tenant identity, security-zone identity, workload lifecycle, and platform realization are separate concepts.</x:v>
      </x:c>
      <x:c r="C11" s="14" t="str">
        <x:v>Architecture authority</x:v>
      </x:c>
      <x:c r="D11" s="14" t="str">
        <x:v>RA §1; RA §28</x:v>
      </x:c>
      <x:c r="E11" s="14" t="str">
        <x:v>S00</x:v>
      </x:c>
      <x:c r="F11" s="14" t="str">
        <x:v>CT-016; CT-070</x:v>
      </x:c>
      <x:c r="G11" s="22" t="str">
        <x:v>Unresolved</x:v>
      </x:c>
      <x:c r="H11" s="22" t="str"/>
      <x:c r="I11" s="22" t="str"/>
      <x:c r="J11" s="22" t="str"/>
      <x:c r="K11" s="22" t="str"/>
    </x:row>
    <x:row r="12" ht="48" customHeight="1">
      <x:c r="A12" s="14" t="str">
        <x:v>INV-002</x:v>
      </x:c>
      <x:c r="B12" s="14" t="str">
        <x:v>A VPC, VRF, Tier-1 gateway, or Neutron router is an implementation mechanism, not the enterprise definition of a security zone.</x:v>
      </x:c>
      <x:c r="C12" s="14" t="str">
        <x:v>Architecture authority</x:v>
      </x:c>
      <x:c r="D12" s="14" t="str">
        <x:v>RA §1; RA §28</x:v>
      </x:c>
      <x:c r="E12" s="14" t="str">
        <x:v>S00</x:v>
      </x:c>
      <x:c r="F12" s="14" t="str">
        <x:v>CT-025; CT-080</x:v>
      </x:c>
      <x:c r="G12" s="22" t="str">
        <x:v>Unresolved</x:v>
      </x:c>
      <x:c r="H12" s="22" t="str"/>
      <x:c r="I12" s="22" t="str"/>
      <x:c r="J12" s="22" t="str"/>
      <x:c r="K12" s="22" t="str"/>
    </x:row>
    <x:row r="13" ht="48" customHeight="1">
      <x:c r="A13" s="14" t="str">
        <x:v>INV-003</x:v>
      </x:c>
      <x:c r="B13" s="14" t="str">
        <x:v>Routes are derived from authorized intent; workload owners do not provide arbitrary route tables, BGP peers, route targets, or prefix imports/exports.</x:v>
      </x:c>
      <x:c r="C13" s="14" t="str">
        <x:v>Architecture authority</x:v>
      </x:c>
      <x:c r="D13" s="14" t="str">
        <x:v>RA §1; RA §28</x:v>
      </x:c>
      <x:c r="E13" s="14" t="str">
        <x:v>S00</x:v>
      </x:c>
      <x:c r="F13" s="14" t="str">
        <x:v>CT-009; CT-033</x:v>
      </x:c>
      <x:c r="G13" s="22" t="str">
        <x:v>Unresolved</x:v>
      </x:c>
      <x:c r="H13" s="22" t="str"/>
      <x:c r="I13" s="22" t="str"/>
      <x:c r="J13" s="22" t="str"/>
      <x:c r="K13" s="22" t="str"/>
    </x:row>
    <x:row r="14" ht="48" customHeight="1">
      <x:c r="A14" s="14" t="str">
        <x:v>INV-004</x:v>
      </x:c>
      <x:c r="B14" s="14" t="str">
        <x:v>Shared services are exposed through explicit service bindings; broad reachability to a common-services supernet is not the default.</x:v>
      </x:c>
      <x:c r="C14" s="14" t="str">
        <x:v>Architecture authority</x:v>
      </x:c>
      <x:c r="D14" s="14" t="str">
        <x:v>RA §1; RA §28</x:v>
      </x:c>
      <x:c r="E14" s="14" t="str">
        <x:v>S00</x:v>
      </x:c>
      <x:c r="F14" s="14" t="str">
        <x:v>CT-008</x:v>
      </x:c>
      <x:c r="G14" s="22" t="str">
        <x:v>Unresolved</x:v>
      </x:c>
      <x:c r="H14" s="22" t="str"/>
      <x:c r="I14" s="22" t="str"/>
      <x:c r="J14" s="22" t="str"/>
      <x:c r="K14" s="22" t="str"/>
    </x:row>
    <x:row r="15" ht="38" customHeight="1">
      <x:c r="A15" s="14" t="str">
        <x:v>INV-005</x:v>
      </x:c>
      <x:c r="B15" s="14" t="str">
        <x:v>Portability means equivalent required outcomes and conformance, not identical topology.</x:v>
      </x:c>
      <x:c r="C15" s="14" t="str">
        <x:v>Architecture authority</x:v>
      </x:c>
      <x:c r="D15" s="14" t="str">
        <x:v>RA §1; RA §28</x:v>
      </x:c>
      <x:c r="E15" s="14" t="str">
        <x:v>S00</x:v>
      </x:c>
      <x:c r="F15" s="14" t="str">
        <x:v>CT-016; CT-060</x:v>
      </x:c>
      <x:c r="G15" s="22" t="str">
        <x:v>Unresolved</x:v>
      </x:c>
      <x:c r="H15" s="22" t="str"/>
      <x:c r="I15" s="22" t="str"/>
      <x:c r="J15" s="22" t="str"/>
      <x:c r="K15" s="22" t="str"/>
    </x:row>
    <x:row r="16" ht="38" customHeight="1">
      <x:c r="A16" s="14" t="str">
        <x:v>INV-006</x:v>
      </x:c>
      <x:c r="B16" s="14" t="str">
        <x:v>A deployment is not Service Ready until realized state and security controls are verified.</x:v>
      </x:c>
      <x:c r="C16" s="14" t="str">
        <x:v>Architecture authority</x:v>
      </x:c>
      <x:c r="D16" s="14" t="str">
        <x:v>RA §1; RA §28</x:v>
      </x:c>
      <x:c r="E16" s="14" t="str">
        <x:v>S00</x:v>
      </x:c>
      <x:c r="F16" s="14" t="str">
        <x:v>CT-049; CT-069</x:v>
      </x:c>
      <x:c r="G16" s="22" t="str">
        <x:v>Unresolved</x:v>
      </x:c>
      <x:c r="H16" s="22" t="str"/>
      <x:c r="I16" s="22" t="str"/>
      <x:c r="J16" s="22" t="str"/>
      <x:c r="K16" s="22" t="str"/>
    </x:row>
    <x:row r="17" ht="48" customHeight="1">
      <x:c r="A17" s="14" t="str">
        <x:v>INV-007</x:v>
      </x:c>
      <x:c r="B17" s="14" t="str">
        <x:v>Failure of an admission or control-plane dependency SHALL fail new changes closed; failure SHALL NOT silently create a security bypass.</x:v>
      </x:c>
      <x:c r="C17" s="14" t="str">
        <x:v>Architecture authority</x:v>
      </x:c>
      <x:c r="D17" s="14" t="str">
        <x:v>RA §1; RA §28</x:v>
      </x:c>
      <x:c r="E17" s="14" t="str">
        <x:v>S00</x:v>
      </x:c>
      <x:c r="F17" s="14" t="str">
        <x:v>CT-011; CT-045</x:v>
      </x:c>
      <x:c r="G17" s="22" t="str">
        <x:v>Unresolved</x:v>
      </x:c>
      <x:c r="H17" s="22" t="str"/>
      <x:c r="I17" s="22" t="str"/>
      <x:c r="J17" s="22" t="str"/>
      <x:c r="K17" s="22" t="str"/>
    </x:row>
    <x:row r="18" ht="48" customHeight="1">
      <x:c r="A18" s="14" t="str">
        <x:v>REF-001</x:v>
      </x:c>
      <x:c r="B18" s="14" t="str">
        <x:v>The service contract SHALL remain stable when a supported platform is replaced, provided the replacement platform passes the required conformance profile.</x:v>
      </x:c>
      <x:c r="C18" s="14" t="str">
        <x:v>Architecture authority</x:v>
      </x:c>
      <x:c r="D18" s="14" t="str">
        <x:v>RA §1; RA §28</x:v>
      </x:c>
      <x:c r="E18" s="14" t="str">
        <x:v>S00</x:v>
      </x:c>
      <x:c r="F18" s="14" t="str">
        <x:v>CT-016; CT-060</x:v>
      </x:c>
      <x:c r="G18" s="22" t="str">
        <x:v>Unresolved</x:v>
      </x:c>
      <x:c r="H18" s="22" t="str"/>
      <x:c r="I18" s="22" t="str"/>
      <x:c r="J18" s="22" t="str"/>
      <x:c r="K18" s="22" t="str"/>
    </x:row>
    <x:row r="19" ht="48" customHeight="1">
      <x:c r="A19" s="14" t="str">
        <x:v>REF-002</x:v>
      </x:c>
      <x:c r="B19" s="14" t="str">
        <x:v>Platform-specific extensions MAY be offered, but they SHALL be declared as capabilities and SHALL NOT redefine the portable core semantics.</x:v>
      </x:c>
      <x:c r="C19" s="14" t="str">
        <x:v>Architecture authority</x:v>
      </x:c>
      <x:c r="D19" s="14" t="str">
        <x:v>RA §1; RA §28</x:v>
      </x:c>
      <x:c r="E19" s="14" t="str">
        <x:v>S00</x:v>
      </x:c>
      <x:c r="F19" s="14" t="str">
        <x:v>CT-016; CT-018</x:v>
      </x:c>
      <x:c r="G19" s="22" t="str">
        <x:v>Unresolved</x:v>
      </x:c>
      <x:c r="H19" s="22" t="str"/>
      <x:c r="I19" s="22" t="str"/>
      <x:c r="J19" s="22" t="str"/>
      <x:c r="K19" s="22" t="str"/>
    </x:row>
    <x:row r="20" ht="61" customHeight="1">
      <x:c r="A20" s="14" t="str">
        <x:v>DOC-001</x:v>
      </x:c>
      <x:c r="B20" s="14" t="str">
        <x:v>Every normative requirement SHALL have a stable identifier, accountable owner, applicability, source basis, verification procedure and exception policy; generated catalogues SHALL contain every active requirement.</x:v>
      </x:c>
      <x:c r="C20" s="14" t="str">
        <x:v>Architecture authority</x:v>
      </x:c>
      <x:c r="D20" s="14" t="str">
        <x:v>RA §1; RA §28</x:v>
      </x:c>
      <x:c r="E20" s="14" t="str">
        <x:v>S00</x:v>
      </x:c>
      <x:c r="F20" s="14" t="str">
        <x:v>CT-075</x:v>
      </x:c>
      <x:c r="G20" s="22" t="str">
        <x:v>Unresolved</x:v>
      </x:c>
      <x:c r="H20" s="22" t="str"/>
      <x:c r="I20" s="22" t="str"/>
      <x:c r="J20" s="22" t="str"/>
      <x:c r="K20" s="22" t="str"/>
    </x:row>
    <x:row r="21" ht="61" customHeight="1">
      <x:c r="A21" s="14" t="str">
        <x:v>AUTH-001</x:v>
      </x:c>
      <x:c r="B21" s="14" t="str">
        <x:v>Technical conformance, service readiness and formal authorization SHALL be recorded as distinct states; an automated test result SHALL NOT create, renew or impersonate an authorization decision.</x:v>
      </x:c>
      <x:c r="C21" s="14" t="str">
        <x:v>Security authority</x:v>
      </x:c>
      <x:c r="D21" s="14" t="str">
        <x:v>RA §1; RA §28</x:v>
      </x:c>
      <x:c r="E21" s="14" t="str">
        <x:v>S04; S05</x:v>
      </x:c>
      <x:c r="F21" s="14" t="str">
        <x:v>CT-049; CT-069</x:v>
      </x:c>
      <x:c r="G21" s="22" t="str">
        <x:v>Unresolved</x:v>
      </x:c>
      <x:c r="H21" s="22" t="str"/>
      <x:c r="I21" s="22" t="str"/>
      <x:c r="J21" s="22" t="str"/>
      <x:c r="K21" s="22" t="str"/>
    </x:row>
    <x:row r="22" ht="61" customHeight="1">
      <x:c r="A22" s="14" t="str">
        <x:v>STD-001</x:v>
      </x:c>
      <x:c r="B22" s="14" t="str">
        <x:v>The standards register SHALL record edition, effective/review date, applicability, owner and supersession relationships; external changes SHALL trigger an impact review of affected profiles and evidence.</x:v>
      </x:c>
      <x:c r="C22" s="14" t="str">
        <x:v>Security authority</x:v>
      </x:c>
      <x:c r="D22" s="14" t="str">
        <x:v>RA §1; RA §28</x:v>
      </x:c>
      <x:c r="E22" s="14" t="str">
        <x:v>S01; S02; S05; S10</x:v>
      </x:c>
      <x:c r="F22" s="14" t="str">
        <x:v>CT-062; CT-075</x:v>
      </x:c>
      <x:c r="G22" s="22" t="str">
        <x:v>Unresolved</x:v>
      </x:c>
      <x:c r="H22" s="22" t="str"/>
      <x:c r="I22" s="22" t="str"/>
      <x:c r="J22" s="22" t="str"/>
      <x:c r="K22" s="22" t="str"/>
    </x:row>
    <x:row r="23" ht="74" customHeight="1">
      <x:c r="A23" s="14" t="str">
        <x:v>STD-002</x:v>
      </x:c>
      <x:c r="B23" s="14" t="str">
        <x:v>Control mappings SHALL preserve source edition and identifier and SHALL distinguish direct source requirements, local translations and design decisions; a family-level crosswalk SHALL NOT be represented as a completed control assessment.</x:v>
      </x:c>
      <x:c r="C23" s="14" t="str">
        <x:v>Security authority</x:v>
      </x:c>
      <x:c r="D23" s="14" t="str">
        <x:v>RA §1; RA §28</x:v>
      </x:c>
      <x:c r="E23" s="14" t="str">
        <x:v>S05</x:v>
      </x:c>
      <x:c r="F23" s="14" t="str">
        <x:v>CT-062; CT-075</x:v>
      </x:c>
      <x:c r="G23" s="22" t="str">
        <x:v>Unresolved</x:v>
      </x:c>
      <x:c r="H23" s="22" t="str"/>
      <x:c r="I23" s="22" t="str"/>
      <x:c r="J23" s="22" t="str"/>
      <x:c r="K23" s="22" t="str"/>
    </x:row>
    <x:row r="24" ht="61" customHeight="1">
      <x:c r="A24" s="14" t="str">
        <x:v>CAT-001</x:v>
      </x:c>
      <x:c r="B24" s="14" t="str">
        <x:v>Each WSD SHALL record confidentiality, integrity and availability separately and SHALL reference the exact adopted SecurityProfile, AssuranceProfile, AvailabilityProfile, RecoveryProfile and PlacementProfile.</x:v>
      </x:c>
      <x:c r="C24" s="14" t="str">
        <x:v>Security authority</x:v>
      </x:c>
      <x:c r="D24" s="14" t="str">
        <x:v>RA §2</x:v>
      </x:c>
      <x:c r="E24" s="14" t="str">
        <x:v>S00; S05; S06</x:v>
      </x:c>
      <x:c r="F24" s="14" t="str">
        <x:v>CT-017; CT-062; CT-069</x:v>
      </x:c>
      <x:c r="G24" s="22" t="str">
        <x:v>Unresolved</x:v>
      </x:c>
      <x:c r="H24" s="22" t="str"/>
      <x:c r="I24" s="22" t="str"/>
      <x:c r="J24" s="22" t="str"/>
      <x:c r="K24" s="22" t="str"/>
    </x:row>
    <x:row r="25" ht="61" customHeight="1">
      <x:c r="A25" s="14" t="str">
        <x:v>CAT-002</x:v>
      </x:c>
      <x:c r="B25" s="14" t="str">
        <x:v>Profile resolution SHALL be immutable and authorized; a consumer SHALL NOT lower mandatory requirements by editing a profile, forging a status field or choosing an unsupported category.</x:v>
      </x:c>
      <x:c r="C25" s="14" t="str">
        <x:v>Automation platform</x:v>
      </x:c>
      <x:c r="D25" s="14" t="str">
        <x:v>RA §2</x:v>
      </x:c>
      <x:c r="E25" s="14" t="str">
        <x:v>S00</x:v>
      </x:c>
      <x:c r="F25" s="14" t="str">
        <x:v>CT-017; CT-018</x:v>
      </x:c>
      <x:c r="G25" s="22" t="str">
        <x:v>Unresolved</x:v>
      </x:c>
      <x:c r="H25" s="22" t="str"/>
      <x:c r="I25" s="22" t="str"/>
      <x:c r="J25" s="22" t="str"/>
      <x:c r="K25" s="22" t="str"/>
    </x:row>
    <x:row r="26" ht="61" customHeight="1">
      <x:c r="A26" s="14" t="str">
        <x:v>THR-001</x:v>
      </x:c>
      <x:c r="B26" s="14" t="str">
        <x:v>Each platform qualification and material WSD change SHALL include a threat/failure analysis that identifies trust boundaries, privileged actors, dependency failures, residual risks and applicable tests.</x:v>
      </x:c>
      <x:c r="C26" s="14" t="str">
        <x:v>Security authority</x:v>
      </x:c>
      <x:c r="D26" s="14" t="str">
        <x:v>RA §2</x:v>
      </x:c>
      <x:c r="E26" s="14" t="str">
        <x:v>S03; S05; S08</x:v>
      </x:c>
      <x:c r="F26" s="14" t="str">
        <x:v>CT-035; CT-062; CT-080</x:v>
      </x:c>
      <x:c r="G26" s="22" t="str">
        <x:v>Unresolved</x:v>
      </x:c>
      <x:c r="H26" s="22" t="str"/>
      <x:c r="I26" s="22" t="str"/>
      <x:c r="J26" s="22" t="str"/>
      <x:c r="K26" s="22" t="str"/>
    </x:row>
    <x:row r="27" ht="61" customHeight="1">
      <x:c r="A27" s="14" t="str">
        <x:v>MODEL-001</x:v>
      </x:c>
      <x:c r="B27" s="14" t="str">
        <x:v>Every network SHALL resolve to one Security Domain Instance, one logical domain, one zone class, one address authority and one accountable owner; shared-domain lifecycle SHALL use explicit dependency references.</x:v>
      </x:c>
      <x:c r="C27" s="14" t="str">
        <x:v>Architecture authority</x:v>
      </x:c>
      <x:c r="D27" s="14" t="str">
        <x:v>RA §3; RA §7</x:v>
      </x:c>
      <x:c r="E27" s="14" t="str">
        <x:v>S00</x:v>
      </x:c>
      <x:c r="F27" s="14" t="str">
        <x:v>CT-017; CT-025; CT-070</x:v>
      </x:c>
      <x:c r="G27" s="22" t="str">
        <x:v>Unresolved</x:v>
      </x:c>
      <x:c r="H27" s="22" t="str"/>
      <x:c r="I27" s="22" t="str"/>
      <x:c r="J27" s="22" t="str"/>
      <x:c r="K27" s="22" t="str"/>
    </x:row>
    <x:row r="28" ht="61" customHeight="1">
      <x:c r="A28" s="14" t="str">
        <x:v>MODEL-002</x:v>
      </x:c>
      <x:c r="B28" s="14" t="str">
        <x:v>Provider service consumption, platform control, privileged management and OOB transport SHALL be modeled separately; a shared service SHALL NOT create implicit authority over another plane.</x:v>
      </x:c>
      <x:c r="C28" s="14" t="str">
        <x:v>Architecture authority</x:v>
      </x:c>
      <x:c r="D28" s="14" t="str">
        <x:v>RA §3; RA §7</x:v>
      </x:c>
      <x:c r="E28" s="14" t="str">
        <x:v>S00; S01; S02</x:v>
      </x:c>
      <x:c r="F28" s="14" t="str">
        <x:v>CT-004; CT-008; CT-026</x:v>
      </x:c>
      <x:c r="G28" s="22" t="str">
        <x:v>Unresolved</x:v>
      </x:c>
      <x:c r="H28" s="22" t="str"/>
      <x:c r="I28" s="22" t="str"/>
      <x:c r="J28" s="22" t="str"/>
      <x:c r="K28" s="22" t="str"/>
    </x:row>
    <x:row r="29" ht="38" customHeight="1">
      <x:c r="A29" s="14" t="str">
        <x:v>TEN-001</x:v>
      </x:c>
      <x:c r="B29" s="14" t="str">
        <x:v>Cross-tenant routing SHALL be denied by default even when two tenants use the same zone class.</x:v>
      </x:c>
      <x:c r="C29" s="14" t="str">
        <x:v>Automation platform</x:v>
      </x:c>
      <x:c r="D29" s="14" t="str">
        <x:v>RA §7</x:v>
      </x:c>
      <x:c r="E29" s="14" t="str">
        <x:v>S00</x:v>
      </x:c>
      <x:c r="F29" s="14" t="str">
        <x:v>CT-001; CT-002; CT-019</x:v>
      </x:c>
      <x:c r="G29" s="22" t="str">
        <x:v>Unresolved</x:v>
      </x:c>
      <x:c r="H29" s="22" t="str"/>
      <x:c r="I29" s="22" t="str"/>
      <x:c r="J29" s="22" t="str"/>
      <x:c r="K29" s="22" t="str"/>
    </x:row>
    <x:row r="30" ht="48" customHeight="1">
      <x:c r="A30" s="14" t="str">
        <x:v>TEN-002</x:v>
      </x:c>
      <x:c r="B30" s="14" t="str">
        <x:v>Tenant administrators SHALL NOT have authority to modify provider management, security-edge infrastructure, physical fabric, or another tenant namespace.</x:v>
      </x:c>
      <x:c r="C30" s="14" t="str">
        <x:v>Automation platform</x:v>
      </x:c>
      <x:c r="D30" s="14" t="str">
        <x:v>RA §7</x:v>
      </x:c>
      <x:c r="E30" s="14" t="str">
        <x:v>S00</x:v>
      </x:c>
      <x:c r="F30" s="14" t="str">
        <x:v>CT-019; CT-026</x:v>
      </x:c>
      <x:c r="G30" s="22" t="str">
        <x:v>Unresolved</x:v>
      </x:c>
      <x:c r="H30" s="22" t="str"/>
      <x:c r="I30" s="22" t="str"/>
      <x:c r="J30" s="22" t="str"/>
      <x:c r="K30" s="22" t="str"/>
    </x:row>
    <x:row r="31" ht="61" customHeight="1">
      <x:c r="A31" s="14" t="str">
        <x:v>TEN-003</x:v>
      </x:c>
      <x:c r="B31" s="14" t="str">
        <x:v>Tenant ownership, entitlements and role bindings SHALL be versioned and auditable; suspension SHALL specify permitted recovery/containment actions and SHALL NOT imply indiscriminate workload deletion.</x:v>
      </x:c>
      <x:c r="C31" s="14" t="str">
        <x:v>Service owner</x:v>
      </x:c>
      <x:c r="D31" s="14" t="str">
        <x:v>RA §7</x:v>
      </x:c>
      <x:c r="E31" s="14" t="str">
        <x:v>S00</x:v>
      </x:c>
      <x:c r="F31" s="14" t="str">
        <x:v>CT-019; CT-057; CT-070</x:v>
      </x:c>
      <x:c r="G31" s="22" t="str">
        <x:v>Unresolved</x:v>
      </x:c>
      <x:c r="H31" s="22" t="str"/>
      <x:c r="I31" s="22" t="str"/>
      <x:c r="J31" s="22" t="str"/>
      <x:c r="K31" s="22" t="str"/>
    </x:row>
    <x:row r="32" ht="38" customHeight="1">
      <x:c r="A32" s="14" t="str">
        <x:v>WSD-001</x:v>
      </x:c>
      <x:c r="B32" s="14" t="str">
        <x:v>Every managed workload SHALL belong to a WSD or an explicitly documented equivalent lifecycle object.</x:v>
      </x:c>
      <x:c r="C32" s="14" t="str">
        <x:v>Service owner</x:v>
      </x:c>
      <x:c r="D32" s="14" t="str">
        <x:v>RA §7</x:v>
      </x:c>
      <x:c r="E32" s="14" t="str">
        <x:v>S00</x:v>
      </x:c>
      <x:c r="F32" s="14" t="str">
        <x:v>CT-017; CT-070</x:v>
      </x:c>
      <x:c r="G32" s="22" t="str">
        <x:v>Unresolved</x:v>
      </x:c>
      <x:c r="H32" s="22" t="str"/>
      <x:c r="I32" s="22" t="str"/>
      <x:c r="J32" s="22" t="str"/>
      <x:c r="K32" s="22" t="str"/>
    </x:row>
    <x:row r="33" ht="48" customHeight="1">
      <x:c r="A33" s="14" t="str">
        <x:v>WSD-002</x:v>
      </x:c>
      <x:c r="B33" s="14" t="str">
        <x:v>The WSD SHALL contain security and connectivity intent; it SHALL NOT contain vendor-specific infrastructure identifiers in the consumer contract.</x:v>
      </x:c>
      <x:c r="C33" s="14" t="str">
        <x:v>Automation platform</x:v>
      </x:c>
      <x:c r="D33" s="14" t="str">
        <x:v>RA §7</x:v>
      </x:c>
      <x:c r="E33" s="14" t="str">
        <x:v>S00</x:v>
      </x:c>
      <x:c r="F33" s="14" t="str">
        <x:v>CT-016; CT-017</x:v>
      </x:c>
      <x:c r="G33" s="22" t="str">
        <x:v>Unresolved</x:v>
      </x:c>
      <x:c r="H33" s="22" t="str"/>
      <x:c r="I33" s="22" t="str"/>
      <x:c r="J33" s="22" t="str"/>
      <x:c r="K33" s="22" t="str"/>
    </x:row>
    <x:row r="34" ht="61" customHeight="1">
      <x:c r="A34" s="14" t="str">
        <x:v>WSD-003</x:v>
      </x:c>
      <x:c r="B34" s="14" t="str">
        <x:v>A WSD SHALL declare compute, storage, identity, backup, recovery, exposure and evidence dependencies in addition to network intent; unresolved mandatory dependencies SHALL block Service Ready.</x:v>
      </x:c>
      <x:c r="C34" s="14" t="str">
        <x:v>Service owner</x:v>
      </x:c>
      <x:c r="D34" s="14" t="str">
        <x:v>RA §7</x:v>
      </x:c>
      <x:c r="E34" s="14" t="str">
        <x:v>S00</x:v>
      </x:c>
      <x:c r="F34" s="14" t="str">
        <x:v>CT-062; CT-069</x:v>
      </x:c>
      <x:c r="G34" s="22" t="str">
        <x:v>Unresolved</x:v>
      </x:c>
      <x:c r="H34" s="22" t="str"/>
      <x:c r="I34" s="22" t="str"/>
      <x:c r="J34" s="22" t="str"/>
      <x:c r="K34" s="22" t="str"/>
    </x:row>
    <x:row r="35" ht="38" customHeight="1">
      <x:c r="A35" s="14" t="str">
        <x:v>SDI-001</x:v>
      </x:c>
      <x:c r="B35" s="14" t="str">
        <x:v>A Security Domain Instance SHALL contain only networks authorized to share its routing/security authority.</x:v>
      </x:c>
      <x:c r="C35" s="14" t="str">
        <x:v>Security authority</x:v>
      </x:c>
      <x:c r="D35" s="14" t="str">
        <x:v>RA §7</x:v>
      </x:c>
      <x:c r="E35" s="14" t="str">
        <x:v>S00</x:v>
      </x:c>
      <x:c r="F35" s="14" t="str">
        <x:v>CT-025; CT-035</x:v>
      </x:c>
      <x:c r="G35" s="22" t="str">
        <x:v>Unresolved</x:v>
      </x:c>
      <x:c r="H35" s="22" t="str"/>
      <x:c r="I35" s="22" t="str"/>
      <x:c r="J35" s="22" t="str"/>
      <x:c r="K35" s="22" t="str"/>
    </x:row>
    <x:row r="36" ht="38" customHeight="1">
      <x:c r="A36" s="14" t="str">
        <x:v>SDI-002</x:v>
      </x:c>
      <x:c r="B36" s="14" t="str">
        <x:v>Sharing a zone class SHALL NOT imply reachability between independent Security Domain Instances.</x:v>
      </x:c>
      <x:c r="C36" s="14" t="str">
        <x:v>Platform engineering</x:v>
      </x:c>
      <x:c r="D36" s="14" t="str">
        <x:v>RA §7</x:v>
      </x:c>
      <x:c r="E36" s="14" t="str">
        <x:v>S00</x:v>
      </x:c>
      <x:c r="F36" s="14" t="str">
        <x:v>CT-001; CT-002; CT-021</x:v>
      </x:c>
      <x:c r="G36" s="22" t="str">
        <x:v>Unresolved</x:v>
      </x:c>
      <x:c r="H36" s="22" t="str"/>
      <x:c r="I36" s="22" t="str"/>
      <x:c r="J36" s="22" t="str"/>
      <x:c r="K36" s="22" t="str"/>
    </x:row>
    <x:row r="37" ht="48" customHeight="1">
      <x:c r="A37" s="14" t="str">
        <x:v>SDI-003</x:v>
      </x:c>
      <x:c r="B37" s="14" t="str">
        <x:v>Dedicated Security Domain Instances SHOULD be available for workloads whose assurance profile or threat model requires stronger isolation than shared logical segmentation.</x:v>
      </x:c>
      <x:c r="C37" s="14" t="str">
        <x:v>Platform engineering</x:v>
      </x:c>
      <x:c r="D37" s="14" t="str">
        <x:v>RA §7</x:v>
      </x:c>
      <x:c r="E37" s="14" t="str">
        <x:v>S00</x:v>
      </x:c>
      <x:c r="F37" s="14" t="str">
        <x:v>CT-018; CT-035</x:v>
      </x:c>
      <x:c r="G37" s="22" t="str">
        <x:v>Unresolved</x:v>
      </x:c>
      <x:c r="H37" s="22" t="str"/>
      <x:c r="I37" s="22" t="str"/>
      <x:c r="J37" s="22" t="str"/>
      <x:c r="K37" s="22" t="str"/>
    </x:row>
    <x:row r="38" ht="61" customHeight="1">
      <x:c r="A38" s="14" t="str">
        <x:v>SDI-004</x:v>
      </x:c>
      <x:c r="B38" s="14" t="str">
        <x:v>Each Security Domain Instance SHALL reference a logical domain and a qualified site/platform realization; membership and sharing changes SHALL be assessed as security-significant changes.</x:v>
      </x:c>
      <x:c r="C38" s="14" t="str">
        <x:v>Security authority</x:v>
      </x:c>
      <x:c r="D38" s="14" t="str">
        <x:v>RA §7</x:v>
      </x:c>
      <x:c r="E38" s="14" t="str">
        <x:v>S00</x:v>
      </x:c>
      <x:c r="F38" s="14" t="str">
        <x:v>CT-025; CT-035; CT-048</x:v>
      </x:c>
      <x:c r="G38" s="22" t="str">
        <x:v>Unresolved</x:v>
      </x:c>
      <x:c r="H38" s="22" t="str"/>
      <x:c r="I38" s="22" t="str"/>
      <x:c r="J38" s="22" t="str"/>
      <x:c r="K38" s="22" t="str"/>
    </x:row>
    <x:row r="39" ht="61" customHeight="1">
      <x:c r="A39" s="14" t="str">
        <x:v>ZONE-001</x:v>
      </x:c>
      <x:c r="B39" s="14" t="str">
        <x:v>Internal instance zoneClass SHALL be limited to PAZ, OZ, RZ, HRZ or provider-controlled MZ; external PZ/REZ relationships SHALL use ExternalDomain with explicit authority and trust metadata.</x:v>
      </x:c>
      <x:c r="C39" s="14" t="str">
        <x:v>Security authority</x:v>
      </x:c>
      <x:c r="D39" s="14" t="str">
        <x:v>RA §8</x:v>
      </x:c>
      <x:c r="E39" s="14" t="str">
        <x:v>S01; S02</x:v>
      </x:c>
      <x:c r="F39" s="14" t="str">
        <x:v>CT-017; CT-025; CT-076</x:v>
      </x:c>
      <x:c r="G39" s="22" t="str">
        <x:v>Unresolved</x:v>
      </x:c>
      <x:c r="H39" s="22" t="str"/>
      <x:c r="I39" s="22" t="str"/>
      <x:c r="J39" s="22" t="str"/>
      <x:c r="K39" s="22" t="str"/>
    </x:row>
    <x:row r="40" ht="48" customHeight="1">
      <x:c r="A40" s="14" t="str">
        <x:v>ZONE-002</x:v>
      </x:c>
      <x:c r="B40" s="14" t="str">
        <x:v>Every requested adjacency SHALL be evaluated against the versioned zone policy before allocation; being permitted to create a ZIP SHALL NOT grant any traffic by default.</x:v>
      </x:c>
      <x:c r="C40" s="14" t="str">
        <x:v>Automation platform</x:v>
      </x:c>
      <x:c r="D40" s="14" t="str">
        <x:v>RA §8</x:v>
      </x:c>
      <x:c r="E40" s="14" t="str">
        <x:v>S01; S02</x:v>
      </x:c>
      <x:c r="F40" s="14" t="str">
        <x:v>CT-025; CT-066</x:v>
      </x:c>
      <x:c r="G40" s="22" t="str">
        <x:v>Unresolved</x:v>
      </x:c>
      <x:c r="H40" s="22" t="str"/>
      <x:c r="I40" s="22" t="str"/>
      <x:c r="J40" s="22" t="str"/>
      <x:c r="K40" s="22" t="str"/>
    </x:row>
    <x:row r="41" ht="38" customHeight="1">
      <x:c r="A41" s="14" t="str">
        <x:v>ZIP-001</x:v>
      </x:c>
      <x:c r="B41" s="14" t="str">
        <x:v>All inter-zone network paths SHALL traverse the applicable ZIP/security edge.</x:v>
      </x:c>
      <x:c r="C41" s="14" t="str">
        <x:v>Security-edge operations</x:v>
      </x:c>
      <x:c r="D41" s="14" t="str">
        <x:v>RA §8</x:v>
      </x:c>
      <x:c r="E41" s="14" t="str">
        <x:v>S00</x:v>
      </x:c>
      <x:c r="F41" s="14" t="str">
        <x:v>CT-003; CT-080</x:v>
      </x:c>
      <x:c r="G41" s="22" t="str">
        <x:v>Unresolved</x:v>
      </x:c>
      <x:c r="H41" s="22" t="str"/>
      <x:c r="I41" s="22" t="str"/>
      <x:c r="J41" s="22" t="str"/>
      <x:c r="K41" s="22" t="str"/>
    </x:row>
    <x:row r="42" ht="61" customHeight="1">
      <x:c r="A42" s="14" t="str">
        <x:v>ZIP-002</x:v>
      </x:c>
      <x:c r="B42" s="14" t="str">
        <x:v>A ZIP SHALL identify exactly two authorized adjacent endpoints, each an internal domain instance or approved external/management domain, and SHALL NOT create a general-purpose third-zone transit path.</x:v>
      </x:c>
      <x:c r="C42" s="14" t="str">
        <x:v>Security authority</x:v>
      </x:c>
      <x:c r="D42" s="14" t="str">
        <x:v>RA §8</x:v>
      </x:c>
      <x:c r="E42" s="14" t="str">
        <x:v>S00; S01; S02</x:v>
      </x:c>
      <x:c r="F42" s="14" t="str">
        <x:v>CT-023; CT-025</x:v>
      </x:c>
      <x:c r="G42" s="22" t="str">
        <x:v>Unresolved</x:v>
      </x:c>
      <x:c r="H42" s="22" t="str"/>
      <x:c r="I42" s="22" t="str"/>
      <x:c r="J42" s="22" t="str"/>
      <x:c r="K42" s="22" t="str"/>
    </x:row>
    <x:row r="43" ht="48" customHeight="1">
      <x:c r="A43" s="14" t="str">
        <x:v>ZIP-003</x:v>
      </x:c>
      <x:c r="B43" s="14" t="str">
        <x:v>Default inter-zone policy SHALL be deny; allowed flows SHALL be generated from approved Flow Intentions and Service Bindings.</x:v>
      </x:c>
      <x:c r="C43" s="14" t="str">
        <x:v>Security-edge operations</x:v>
      </x:c>
      <x:c r="D43" s="14" t="str">
        <x:v>RA §8</x:v>
      </x:c>
      <x:c r="E43" s="14" t="str">
        <x:v>S00</x:v>
      </x:c>
      <x:c r="F43" s="14" t="str">
        <x:v>CT-007; CT-025; CT-066</x:v>
      </x:c>
      <x:c r="G43" s="22" t="str">
        <x:v>Unresolved</x:v>
      </x:c>
      <x:c r="H43" s="22" t="str"/>
      <x:c r="I43" s="22" t="str"/>
      <x:c r="J43" s="22" t="str"/>
      <x:c r="K43" s="22" t="str"/>
    </x:row>
    <x:row r="44" ht="38" customHeight="1">
      <x:c r="A44" s="14" t="str">
        <x:v>ZIP-004</x:v>
      </x:c>
      <x:c r="B44" s="14" t="str">
        <x:v>ZIP management traffic SHALL be segregated from operational traffic.</x:v>
      </x:c>
      <x:c r="C44" s="14" t="str">
        <x:v>Security-edge operations</x:v>
      </x:c>
      <x:c r="D44" s="14" t="str">
        <x:v>RA §8</x:v>
      </x:c>
      <x:c r="E44" s="14" t="str">
        <x:v>S00</x:v>
      </x:c>
      <x:c r="F44" s="14" t="str">
        <x:v>CT-004; CT-026</x:v>
      </x:c>
      <x:c r="G44" s="22" t="str">
        <x:v>Unresolved</x:v>
      </x:c>
      <x:c r="H44" s="22" t="str"/>
      <x:c r="I44" s="22" t="str"/>
      <x:c r="J44" s="22" t="str"/>
      <x:c r="K44" s="22" t="str"/>
    </x:row>
    <x:row r="45" ht="61" customHeight="1">
      <x:c r="A45" s="14" t="str">
        <x:v>ZIP-005</x:v>
      </x:c>
      <x:c r="B45" s="14" t="str">
        <x:v>Data-path ZIPs and management-path ZIPs SHALL be governed and deployed as distinct security services; shared virtualization SHALL only be used where the applicable assurance analysis supports it.</x:v>
      </x:c>
      <x:c r="C45" s="14" t="str">
        <x:v>Security authority</x:v>
      </x:c>
      <x:c r="D45" s="14" t="str">
        <x:v>RA §8</x:v>
      </x:c>
      <x:c r="E45" s="14" t="str">
        <x:v>S00</x:v>
      </x:c>
      <x:c r="F45" s="14" t="str">
        <x:v>CT-026; CT-035; CT-080</x:v>
      </x:c>
      <x:c r="G45" s="22" t="str">
        <x:v>Unresolved</x:v>
      </x:c>
      <x:c r="H45" s="22" t="str"/>
      <x:c r="I45" s="22" t="str"/>
      <x:c r="J45" s="22" t="str"/>
      <x:c r="K45" s="22" t="str"/>
    </x:row>
    <x:row r="46" ht="61" customHeight="1">
      <x:c r="A46" s="14" t="str">
        <x:v>ZIP-006</x:v>
      </x:c>
      <x:c r="B46" s="14" t="str">
        <x:v>Each ZIP SHALL record its two zone authorities, joint approval, required security functions, management authority, heightened posture, session-revocation behavior and current evidence.</x:v>
      </x:c>
      <x:c r="C46" s="14" t="str">
        <x:v>Security authority</x:v>
      </x:c>
      <x:c r="D46" s="14" t="str">
        <x:v>RA §8</x:v>
      </x:c>
      <x:c r="E46" s="14" t="str">
        <x:v>S01; S02</x:v>
      </x:c>
      <x:c r="F46" s="14" t="str">
        <x:v>CT-067; CT-077; CT-080</x:v>
      </x:c>
      <x:c r="G46" s="22" t="str">
        <x:v>Unresolved</x:v>
      </x:c>
      <x:c r="H46" s="22" t="str"/>
      <x:c r="I46" s="22" t="str"/>
      <x:c r="J46" s="22" t="str"/>
      <x:c r="K46" s="22" t="str"/>
    </x:row>
    <x:row r="47" ht="61" customHeight="1">
      <x:c r="A47" s="14" t="str">
        <x:v>ZIP-007</x:v>
      </x:c>
      <x:c r="B47" s="14" t="str">
        <x:v>A distributed or shared-infrastructure ZIP SHALL be qualified against the same required security outcomes as a dedicated edge; any unsupported mandatory function SHALL make that realization ineligible.</x:v>
      </x:c>
      <x:c r="C47" s="14" t="str">
        <x:v>Platform engineering</x:v>
      </x:c>
      <x:c r="D47" s="14" t="str">
        <x:v>RA §8</x:v>
      </x:c>
      <x:c r="E47" s="14" t="str">
        <x:v>S02</x:v>
      </x:c>
      <x:c r="F47" s="14" t="str">
        <x:v>CT-003; CT-023; CT-080</x:v>
      </x:c>
      <x:c r="G47" s="22" t="str">
        <x:v>Unresolved</x:v>
      </x:c>
      <x:c r="H47" s="22" t="str"/>
      <x:c r="I47" s="22" t="str"/>
      <x:c r="J47" s="22" t="str"/>
      <x:c r="K47" s="22" t="str"/>
    </x:row>
    <x:row r="48" ht="38" customHeight="1">
      <x:c r="A48" s="14" t="str">
        <x:v>MGT-001</x:v>
      </x:c>
      <x:c r="B48" s="14" t="str">
        <x:v>Tenant workload networks SHALL have no direct route to infrastructure management interfaces.</x:v>
      </x:c>
      <x:c r="C48" s="14" t="str">
        <x:v>Management operations</x:v>
      </x:c>
      <x:c r="D48" s="14" t="str">
        <x:v>RA §6; RA §13</x:v>
      </x:c>
      <x:c r="E48" s="14" t="str">
        <x:v>S00</x:v>
      </x:c>
      <x:c r="F48" s="14" t="str">
        <x:v>CT-004; CT-026</x:v>
      </x:c>
      <x:c r="G48" s="22" t="str">
        <x:v>Unresolved</x:v>
      </x:c>
      <x:c r="H48" s="22" t="str"/>
      <x:c r="I48" s="22" t="str"/>
      <x:c r="J48" s="22" t="str"/>
      <x:c r="K48" s="22" t="str"/>
    </x:row>
    <x:row r="49" ht="48" customHeight="1">
      <x:c r="A49" s="14" t="str">
        <x:v>MGT-002</x:v>
      </x:c>
      <x:c r="B49" s="14" t="str">
        <x:v>Administrative access SHALL originate from an authorized management access path and traverse management-specific security controls.</x:v>
      </x:c>
      <x:c r="C49" s="14" t="str">
        <x:v>Management operations</x:v>
      </x:c>
      <x:c r="D49" s="14" t="str">
        <x:v>RA §6; RA §13</x:v>
      </x:c>
      <x:c r="E49" s="14" t="str">
        <x:v>S00</x:v>
      </x:c>
      <x:c r="F49" s="14" t="str">
        <x:v>CT-026; CT-027</x:v>
      </x:c>
      <x:c r="G49" s="22" t="str">
        <x:v>Unresolved</x:v>
      </x:c>
      <x:c r="H49" s="22" t="str"/>
      <x:c r="I49" s="22" t="str"/>
      <x:c r="J49" s="22" t="str"/>
      <x:c r="K49" s="22" t="str"/>
    </x:row>
    <x:row r="50" ht="48" customHeight="1">
      <x:c r="A50" s="14" t="str">
        <x:v>MGT-003</x:v>
      </x:c>
      <x:c r="B50" s="14" t="str">
        <x:v>Automation identities used to manage tenant workloads SHALL be separated from identities able to modify the physical fabric, security edge, or management foundation.</x:v>
      </x:c>
      <x:c r="C50" s="14" t="str">
        <x:v>Automation platform</x:v>
      </x:c>
      <x:c r="D50" s="14" t="str">
        <x:v>RA §6; RA §13</x:v>
      </x:c>
      <x:c r="E50" s="14" t="str">
        <x:v>S00</x:v>
      </x:c>
      <x:c r="F50" s="14" t="str">
        <x:v>CT-019; CT-044</x:v>
      </x:c>
      <x:c r="G50" s="22" t="str">
        <x:v>Unresolved</x:v>
      </x:c>
      <x:c r="H50" s="22" t="str"/>
      <x:c r="I50" s="22" t="str"/>
      <x:c r="J50" s="22" t="str"/>
      <x:c r="K50" s="22" t="str"/>
    </x:row>
    <x:row r="51" ht="48" customHeight="1">
      <x:c r="A51" s="14" t="str">
        <x:v>MGT-004</x:v>
      </x:c>
      <x:c r="B51" s="14" t="str">
        <x:v>Break-glass access SHALL be separately controlled, strongly authenticated, logged, time-bounded where feasible, and periodically tested.</x:v>
      </x:c>
      <x:c r="C51" s="14" t="str">
        <x:v>Management operations</x:v>
      </x:c>
      <x:c r="D51" s="14" t="str">
        <x:v>RA §6; RA §13</x:v>
      </x:c>
      <x:c r="E51" s="14" t="str">
        <x:v>S00</x:v>
      </x:c>
      <x:c r="F51" s="14" t="str">
        <x:v>CT-027; CT-079</x:v>
      </x:c>
      <x:c r="G51" s="22" t="str">
        <x:v>Unresolved</x:v>
      </x:c>
      <x:c r="H51" s="22" t="str"/>
      <x:c r="I51" s="22" t="str"/>
      <x:c r="J51" s="22" t="str"/>
      <x:c r="K51" s="22" t="str"/>
    </x:row>
    <x:row r="52" ht="61" customHeight="1">
      <x:c r="A52" s="14" t="str">
        <x:v>MGT-005</x:v>
      </x:c>
      <x:c r="B52" s="14" t="str">
        <x:v>The implementation SHALL document independent MZ semantics, OOB transport dependencies, remote-management boundary and privileged identity controls; tenant-facing APIs SHALL NOT expose infrastructure administration.</x:v>
      </x:c>
      <x:c r="C52" s="14" t="str">
        <x:v>Management operations</x:v>
      </x:c>
      <x:c r="D52" s="14" t="str">
        <x:v>RA §6; RA §13</x:v>
      </x:c>
      <x:c r="E52" s="14" t="str">
        <x:v>S01; S02; S07</x:v>
      </x:c>
      <x:c r="F52" s="14" t="str">
        <x:v>CT-004; CT-026; CT-055</x:v>
      </x:c>
      <x:c r="G52" s="22" t="str">
        <x:v>Unresolved</x:v>
      </x:c>
      <x:c r="H52" s="22" t="str"/>
      <x:c r="I52" s="22" t="str"/>
      <x:c r="J52" s="22" t="str"/>
      <x:c r="K52" s="22" t="str"/>
    </x:row>
    <x:row r="53" ht="48" customHeight="1">
      <x:c r="A53" s="14" t="str">
        <x:v>OVL-001</x:v>
      </x:c>
      <x:c r="B53" s="14" t="str">
        <x:v>A platform SHALL provide an isolated routing/policy mechanism capable of realizing the Security Domain semantics required by the applicable conformance profile.</x:v>
      </x:c>
      <x:c r="C53" s="14" t="str">
        <x:v>Platform engineering</x:v>
      </x:c>
      <x:c r="D53" s="14" t="str">
        <x:v>RA §8</x:v>
      </x:c>
      <x:c r="E53" s="14" t="str">
        <x:v>S00</x:v>
      </x:c>
      <x:c r="F53" s="14" t="str">
        <x:v>CT-016; CT-018; CT-080</x:v>
      </x:c>
      <x:c r="G53" s="22" t="str">
        <x:v>Unresolved</x:v>
      </x:c>
      <x:c r="H53" s="22" t="str"/>
      <x:c r="I53" s="22" t="str"/>
      <x:c r="J53" s="22" t="str"/>
      <x:c r="K53" s="22" t="str"/>
    </x:row>
    <x:row r="54" ht="61" customHeight="1">
      <x:c r="A54" s="14" t="str">
        <x:v>OVL-002</x:v>
      </x:c>
      <x:c r="B54" s="14" t="str">
        <x:v>Native routing MAY be used within one authorized Security Domain Instance; communication between independent security domains SHALL follow the approved boundary/ZIP realization and its policy.</x:v>
      </x:c>
      <x:c r="C54" s="14" t="str">
        <x:v>Platform engineering</x:v>
      </x:c>
      <x:c r="D54" s="14" t="str">
        <x:v>RA §8</x:v>
      </x:c>
      <x:c r="E54" s="14" t="str">
        <x:v>S00; S01; S02</x:v>
      </x:c>
      <x:c r="F54" s="14" t="str">
        <x:v>CT-003; CT-021; CT-023</x:v>
      </x:c>
      <x:c r="G54" s="22" t="str">
        <x:v>Unresolved</x:v>
      </x:c>
      <x:c r="H54" s="22" t="str"/>
      <x:c r="I54" s="22" t="str"/>
      <x:c r="J54" s="22" t="str"/>
      <x:c r="K54" s="22" t="str"/>
    </x:row>
    <x:row r="55" ht="61" customHeight="1">
      <x:c r="A55" s="14" t="str">
        <x:v>OVL-003</x:v>
      </x:c>
      <x:c r="B55" s="14" t="str">
        <x:v>Before a workload is attached, the adapter SHALL normalize permissive native defaults and enforce the mandatory baseline on all supported NIC, router, gateway and workload-attachment paths.</x:v>
      </x:c>
      <x:c r="C55" s="14" t="str">
        <x:v>Platform engineering</x:v>
      </x:c>
      <x:c r="D55" s="14" t="str">
        <x:v>RA §8</x:v>
      </x:c>
      <x:c r="E55" s="14" t="str">
        <x:v>S00</x:v>
      </x:c>
      <x:c r="F55" s="14" t="str">
        <x:v>CT-022; CT-066; CT-069</x:v>
      </x:c>
      <x:c r="G55" s="22" t="str">
        <x:v>Unresolved</x:v>
      </x:c>
      <x:c r="H55" s="22" t="str"/>
      <x:c r="I55" s="22" t="str"/>
      <x:c r="J55" s="22" t="str"/>
      <x:c r="K55" s="22" t="str"/>
    </x:row>
    <x:row r="56" ht="38" customHeight="1">
      <x:c r="A56" s="14" t="str">
        <x:v>RTE-001</x:v>
      </x:c>
      <x:c r="B56" s="14" t="str">
        <x:v>Routes, route imports/exports, and BGP adjacencies SHALL be provider-controlled outputs of authorized intent.</x:v>
      </x:c>
      <x:c r="C56" s="14" t="str">
        <x:v>Network engineering</x:v>
      </x:c>
      <x:c r="D56" s="14" t="str">
        <x:v>RA §8; RA §10</x:v>
      </x:c>
      <x:c r="E56" s="14" t="str">
        <x:v>S00</x:v>
      </x:c>
      <x:c r="F56" s="14" t="str">
        <x:v>CT-009; CT-033</x:v>
      </x:c>
      <x:c r="G56" s="22" t="str">
        <x:v>Unresolved</x:v>
      </x:c>
      <x:c r="H56" s="22" t="str"/>
      <x:c r="I56" s="22" t="str"/>
      <x:c r="J56" s="22" t="str"/>
      <x:c r="K56" s="22" t="str"/>
    </x:row>
    <x:row r="57" ht="38" customHeight="1">
      <x:c r="A57" s="14" t="str">
        <x:v>RTE-002</x:v>
      </x:c>
      <x:c r="B57" s="14" t="str">
        <x:v>A generalized shared transit VRF SHALL NOT be used as a default inter-zone routing mechanism.</x:v>
      </x:c>
      <x:c r="C57" s="14" t="str">
        <x:v>Network engineering</x:v>
      </x:c>
      <x:c r="D57" s="14" t="str">
        <x:v>RA §8; RA §10</x:v>
      </x:c>
      <x:c r="E57" s="14" t="str">
        <x:v>S00</x:v>
      </x:c>
      <x:c r="F57" s="14" t="str">
        <x:v>CT-003; CT-009; CT-023</x:v>
      </x:c>
      <x:c r="G57" s="22" t="str">
        <x:v>Unresolved</x:v>
      </x:c>
      <x:c r="H57" s="22" t="str"/>
      <x:c r="I57" s="22" t="str"/>
      <x:c r="J57" s="22" t="str"/>
      <x:c r="K57" s="22" t="str"/>
    </x:row>
    <x:row r="58" ht="48" customHeight="1">
      <x:c r="A58" s="14" t="str">
        <x:v>RTE-003</x:v>
      </x:c>
      <x:c r="B58" s="14" t="str">
        <x:v>Temporary migration or transition routes SHALL have explicit scope, approval, expiry, telemetry, and automated teardown.</x:v>
      </x:c>
      <x:c r="C58" s="14" t="str">
        <x:v>Network engineering</x:v>
      </x:c>
      <x:c r="D58" s="14" t="str">
        <x:v>RA §8; RA §10</x:v>
      </x:c>
      <x:c r="E58" s="14" t="str">
        <x:v>S00</x:v>
      </x:c>
      <x:c r="F58" s="14" t="str">
        <x:v>CT-009; CT-058; CT-077</x:v>
      </x:c>
      <x:c r="G58" s="22" t="str">
        <x:v>Unresolved</x:v>
      </x:c>
      <x:c r="H58" s="22" t="str"/>
      <x:c r="I58" s="22" t="str"/>
      <x:c r="J58" s="22" t="str"/>
      <x:c r="K58" s="22" t="str"/>
    </x:row>
    <x:row r="59" ht="61" customHeight="1">
      <x:c r="A59" s="14" t="str">
        <x:v>RTE-004</x:v>
      </x:c>
      <x:c r="B59" s="14" t="str">
        <x:v>Route compilation SHALL validate connected routes, recursive next hops, summaries, NAT/PBR interactions and all enabled address families; realized forwarding SHALL be compared with the approved graph before exposure.</x:v>
      </x:c>
      <x:c r="C59" s="14" t="str">
        <x:v>Network engineering</x:v>
      </x:c>
      <x:c r="D59" s="14" t="str">
        <x:v>RA §8; RA §10</x:v>
      </x:c>
      <x:c r="E59" s="14" t="str">
        <x:v>S00</x:v>
      </x:c>
      <x:c r="F59" s="14" t="str">
        <x:v>CT-009; CT-023; CT-024; CT-031</x:v>
      </x:c>
      <x:c r="G59" s="22" t="str">
        <x:v>Unresolved</x:v>
      </x:c>
      <x:c r="H59" s="22" t="str"/>
      <x:c r="I59" s="22" t="str"/>
      <x:c r="J59" s="22" t="str"/>
      <x:c r="K59" s="22" t="str"/>
    </x:row>
    <x:row r="60" ht="38" customHeight="1">
      <x:c r="A60" s="14" t="str">
        <x:v>IPAM-001</x:v>
      </x:c>
      <x:c r="B60" s="14" t="str">
        <x:v>Every managed network SHALL have an authoritative IPAM record and owner.</x:v>
      </x:c>
      <x:c r="C60" s="14" t="str">
        <x:v>Network engineering</x:v>
      </x:c>
      <x:c r="D60" s="14" t="str">
        <x:v>RA §10</x:v>
      </x:c>
      <x:c r="E60" s="14" t="str">
        <x:v>S00</x:v>
      </x:c>
      <x:c r="F60" s="14" t="str">
        <x:v>CT-029; CT-030</x:v>
      </x:c>
      <x:c r="G60" s="22" t="str">
        <x:v>Unresolved</x:v>
      </x:c>
      <x:c r="H60" s="22" t="str"/>
      <x:c r="I60" s="22" t="str"/>
      <x:c r="J60" s="22" t="str"/>
      <x:c r="K60" s="22" t="str"/>
    </x:row>
    <x:row r="61" ht="38" customHeight="1">
      <x:c r="A61" s="14" t="str">
        <x:v>IPAM-002</x:v>
      </x:c>
      <x:c r="B61" s="14" t="str">
        <x:v>Overlapping address space SHALL be an explicit exception or migration pattern, not the standard tenancy model.</x:v>
      </x:c>
      <x:c r="C61" s="14" t="str">
        <x:v>Network engineering</x:v>
      </x:c>
      <x:c r="D61" s="14" t="str">
        <x:v>RA §10</x:v>
      </x:c>
      <x:c r="E61" s="14" t="str">
        <x:v>S00</x:v>
      </x:c>
      <x:c r="F61" s="14" t="str">
        <x:v>CT-029; CT-061</x:v>
      </x:c>
      <x:c r="G61" s="22" t="str">
        <x:v>Unresolved</x:v>
      </x:c>
      <x:c r="H61" s="22" t="str"/>
      <x:c r="I61" s="22" t="str"/>
      <x:c r="J61" s="22" t="str"/>
      <x:c r="K61" s="22" t="str"/>
    </x:row>
    <x:row r="62" ht="48" customHeight="1">
      <x:c r="A62" s="14" t="str">
        <x:v>IPAM-003</x:v>
      </x:c>
      <x:c r="B62" s="14" t="str">
        <x:v>Address release SHOULD include quarantine/reuse controls appropriate to DNS, logging, firewall state, and incident-response requirements.</x:v>
      </x:c>
      <x:c r="C62" s="14" t="str">
        <x:v>Network engineering</x:v>
      </x:c>
      <x:c r="D62" s="14" t="str">
        <x:v>RA §10</x:v>
      </x:c>
      <x:c r="E62" s="14" t="str">
        <x:v>S00</x:v>
      </x:c>
      <x:c r="F62" s="14" t="str">
        <x:v>CT-013; CT-030</x:v>
      </x:c>
      <x:c r="G62" s="22" t="str">
        <x:v>Unresolved</x:v>
      </x:c>
      <x:c r="H62" s="22" t="str"/>
      <x:c r="I62" s="22" t="str"/>
      <x:c r="J62" s="22" t="str"/>
      <x:c r="K62" s="22" t="str"/>
    </x:row>
    <x:row r="63" ht="61" customHeight="1">
      <x:c r="A63" s="14" t="str">
        <x:v>IPAM-004</x:v>
      </x:c>
      <x:c r="B63" s="14" t="str">
        <x:v>Address allocation, DNS/DHCP registration and release SHALL use idempotent operation identities, conflict detection and a dependency-aware quarantine policy; IPAM failure SHALL NOT cause guessed allocations.</x:v>
      </x:c>
      <x:c r="C63" s="14" t="str">
        <x:v>Automation platform</x:v>
      </x:c>
      <x:c r="D63" s="14" t="str">
        <x:v>RA §10</x:v>
      </x:c>
      <x:c r="E63" s="14" t="str">
        <x:v>S00</x:v>
      </x:c>
      <x:c r="F63" s="14" t="str">
        <x:v>CT-029; CT-030; CT-045; CT-046</x:v>
      </x:c>
      <x:c r="G63" s="22" t="str">
        <x:v>Unresolved</x:v>
      </x:c>
      <x:c r="H63" s="22" t="str"/>
      <x:c r="I63" s="22" t="str"/>
      <x:c r="J63" s="22" t="str"/>
      <x:c r="K63" s="22" t="str"/>
    </x:row>
    <x:row r="64" ht="48" customHeight="1">
      <x:c r="A64" s="14" t="str">
        <x:v>IPV6-001</x:v>
      </x:c>
      <x:c r="B64" s="14" t="str">
        <x:v>Security semantics SHALL be equivalent across IPv4 and IPv6 unless an explicit, approved protocol-specific exception exists.</x:v>
      </x:c>
      <x:c r="C64" s="14" t="str">
        <x:v>Network engineering</x:v>
      </x:c>
      <x:c r="D64" s="14" t="str">
        <x:v>RA §10</x:v>
      </x:c>
      <x:c r="E64" s="14" t="str">
        <x:v>S00</x:v>
      </x:c>
      <x:c r="F64" s="14" t="str">
        <x:v>CT-002; CT-031; CT-032</x:v>
      </x:c>
      <x:c r="G64" s="22" t="str">
        <x:v>Unresolved</x:v>
      </x:c>
      <x:c r="H64" s="22" t="str"/>
      <x:c r="I64" s="22" t="str"/>
      <x:c r="J64" s="22" t="str"/>
      <x:c r="K64" s="22" t="str"/>
    </x:row>
    <x:row r="65" ht="38" customHeight="1">
      <x:c r="A65" s="14" t="str">
        <x:v>IPV6-002</x:v>
      </x:c>
      <x:c r="B65" s="14" t="str">
        <x:v>Conformance testing SHALL include IPv6 negative-path tests before a platform is certified for dual-stack service.</x:v>
      </x:c>
      <x:c r="C65" s="14" t="str">
        <x:v>Platform engineering</x:v>
      </x:c>
      <x:c r="D65" s="14" t="str">
        <x:v>RA §10</x:v>
      </x:c>
      <x:c r="E65" s="14" t="str">
        <x:v>S00</x:v>
      </x:c>
      <x:c r="F65" s="14" t="str">
        <x:v>CT-002; CT-003; CT-031</x:v>
      </x:c>
      <x:c r="G65" s="22" t="str">
        <x:v>Unresolved</x:v>
      </x:c>
      <x:c r="H65" s="22" t="str"/>
      <x:c r="I65" s="22" t="str"/>
      <x:c r="J65" s="22" t="str"/>
      <x:c r="K65" s="22" t="str"/>
    </x:row>
    <x:row r="66" ht="61" customHeight="1">
      <x:c r="A66" s="14" t="str">
        <x:v>IPV6-003</x:v>
      </x:c>
      <x:c r="B66" s="14" t="str">
        <x:v>Every offered address-family mode SHALL define local protocol controls, ICMPv6/PMTU treatment, transition-path restrictions and complete service/recovery dependencies; unsupported family combinations SHALL be rejected.</x:v>
      </x:c>
      <x:c r="C66" s="14" t="str">
        <x:v>Network engineering</x:v>
      </x:c>
      <x:c r="D66" s="14" t="str">
        <x:v>RA §10</x:v>
      </x:c>
      <x:c r="E66" s="14" t="str">
        <x:v>S23; S24</x:v>
      </x:c>
      <x:c r="F66" s="14" t="str">
        <x:v>CT-018; CT-031; CT-032</x:v>
      </x:c>
      <x:c r="G66" s="22" t="str">
        <x:v>Unresolved</x:v>
      </x:c>
      <x:c r="H66" s="22" t="str"/>
      <x:c r="I66" s="22" t="str"/>
      <x:c r="J66" s="22" t="str"/>
      <x:c r="K66" s="22" t="str"/>
    </x:row>
    <x:row r="67" ht="48" customHeight="1">
      <x:c r="A67" s="14" t="str">
        <x:v>SVC-001</x:v>
      </x:c>
      <x:c r="B67" s="14" t="str">
        <x:v>Consumers SHALL NOT receive broad routing to a shared-services supernet solely because they consume one shared service.</x:v>
      </x:c>
      <x:c r="C67" s="14" t="str">
        <x:v>Service operations</x:v>
      </x:c>
      <x:c r="D67" s="14" t="str">
        <x:v>RA §9</x:v>
      </x:c>
      <x:c r="E67" s="14" t="str">
        <x:v>S00</x:v>
      </x:c>
      <x:c r="F67" s="14" t="str">
        <x:v>CT-008; CT-037</x:v>
      </x:c>
      <x:c r="G67" s="22" t="str">
        <x:v>Unresolved</x:v>
      </x:c>
      <x:c r="H67" s="22" t="str"/>
      <x:c r="I67" s="22" t="str"/>
      <x:c r="J67" s="22" t="str"/>
      <x:c r="K67" s="22" t="str"/>
    </x:row>
    <x:row r="68" ht="48" customHeight="1">
      <x:c r="A68" s="14" t="str">
        <x:v>SVC-002</x:v>
      </x:c>
      <x:c r="B68" s="14" t="str">
        <x:v>Where useful, shared services SHOULD expose zone-aligned endpoints so that consumption does not force unnecessary cross-zone routing.</x:v>
      </x:c>
      <x:c r="C68" s="14" t="str">
        <x:v>Service operations</x:v>
      </x:c>
      <x:c r="D68" s="14" t="str">
        <x:v>RA §9</x:v>
      </x:c>
      <x:c r="E68" s="14" t="str">
        <x:v>S00</x:v>
      </x:c>
      <x:c r="F68" s="14" t="str">
        <x:v>CT-008; CT-025</x:v>
      </x:c>
      <x:c r="G68" s="22" t="str">
        <x:v>Unresolved</x:v>
      </x:c>
      <x:c r="H68" s="22" t="str"/>
      <x:c r="I68" s="22" t="str"/>
      <x:c r="J68" s="22" t="str"/>
      <x:c r="K68" s="22" t="str"/>
    </x:row>
    <x:row r="69" ht="61" customHeight="1">
      <x:c r="A69" s="14" t="str">
        <x:v>SVC-003</x:v>
      </x:c>
      <x:c r="B69" s="14" t="str">
        <x:v>Each ServiceProfile SHALL define direction, endpoint identity, authentication, allowed scope, availability, failure behavior and management separation; bindings SHALL be revoked when their entitlement or service version expires.</x:v>
      </x:c>
      <x:c r="C69" s="14" t="str">
        <x:v>Service operations</x:v>
      </x:c>
      <x:c r="D69" s="14" t="str">
        <x:v>RA §9</x:v>
      </x:c>
      <x:c r="E69" s="14" t="str">
        <x:v>S00</x:v>
      </x:c>
      <x:c r="F69" s="14" t="str">
        <x:v>CT-008; CT-028; CT-077</x:v>
      </x:c>
      <x:c r="G69" s="22" t="str">
        <x:v>Unresolved</x:v>
      </x:c>
      <x:c r="H69" s="22" t="str"/>
      <x:c r="I69" s="22" t="str"/>
      <x:c r="J69" s="22" t="str"/>
      <x:c r="K69" s="22" t="str"/>
    </x:row>
    <x:row r="70" ht="48" customHeight="1">
      <x:c r="A70" s="14" t="str">
        <x:v>ING-001</x:v>
      </x:c>
      <x:c r="B70" s="14" t="str">
        <x:v>A workload SHALL NOT obtain direct public ingress by attaching its internal Security Domain directly to a public network.</x:v>
      </x:c>
      <x:c r="C70" s="14" t="str">
        <x:v>Security-edge operations</x:v>
      </x:c>
      <x:c r="D70" s="14" t="str">
        <x:v>RA §9</x:v>
      </x:c>
      <x:c r="E70" s="14" t="str">
        <x:v>S00</x:v>
      </x:c>
      <x:c r="F70" s="14" t="str">
        <x:v>CT-006; CT-025</x:v>
      </x:c>
      <x:c r="G70" s="22" t="str">
        <x:v>Unresolved</x:v>
      </x:c>
      <x:c r="H70" s="22" t="str"/>
      <x:c r="I70" s="22" t="str"/>
      <x:c r="J70" s="22" t="str"/>
      <x:c r="K70" s="22" t="str"/>
    </x:row>
    <x:row r="71" ht="48" customHeight="1">
      <x:c r="A71" s="14" t="str">
        <x:v>ING-002</x:v>
      </x:c>
      <x:c r="B71" s="14" t="str">
        <x:v>Public exposure SHALL be represented by an Exposure object with owner, protocol, endpoint, certificate/DNS dependencies, logging, security profile, and lifecycle state.</x:v>
      </x:c>
      <x:c r="C71" s="14" t="str">
        <x:v>Service owner</x:v>
      </x:c>
      <x:c r="D71" s="14" t="str">
        <x:v>RA §9</x:v>
      </x:c>
      <x:c r="E71" s="14" t="str">
        <x:v>S00</x:v>
      </x:c>
      <x:c r="F71" s="14" t="str">
        <x:v>CT-006; CT-063</x:v>
      </x:c>
      <x:c r="G71" s="22" t="str">
        <x:v>Unresolved</x:v>
      </x:c>
      <x:c r="H71" s="22" t="str"/>
      <x:c r="I71" s="22" t="str"/>
      <x:c r="J71" s="22" t="str"/>
      <x:c r="K71" s="22" t="str"/>
    </x:row>
    <x:row r="72" ht="38" customHeight="1">
      <x:c r="A72" s="14" t="str">
        <x:v>EGR-001</x:v>
      </x:c>
      <x:c r="B72" s="14" t="str">
        <x:v>Internet egress SHALL be deny-by-default and enabled only through an approved egress profile.</x:v>
      </x:c>
      <x:c r="C72" s="14" t="str">
        <x:v>Security-edge operations</x:v>
      </x:c>
      <x:c r="D72" s="14" t="str">
        <x:v>RA §9</x:v>
      </x:c>
      <x:c r="E72" s="14" t="str">
        <x:v>S00</x:v>
      </x:c>
      <x:c r="F72" s="14" t="str">
        <x:v>CT-005; CT-064</x:v>
      </x:c>
      <x:c r="G72" s="22" t="str">
        <x:v>Unresolved</x:v>
      </x:c>
      <x:c r="H72" s="22" t="str"/>
      <x:c r="I72" s="22" t="str"/>
      <x:c r="J72" s="22" t="str"/>
      <x:c r="K72" s="22" t="str"/>
    </x:row>
    <x:row r="73" ht="48" customHeight="1">
      <x:c r="A73" s="14" t="str">
        <x:v>EGR-002</x:v>
      </x:c>
      <x:c r="B73" s="14" t="str">
        <x:v>Egress telemetry SHALL permit attribution to the originating tenant/WSD and should preserve useful source identity where operationally feasible.</x:v>
      </x:c>
      <x:c r="C73" s="14" t="str">
        <x:v>Security-edge operations</x:v>
      </x:c>
      <x:c r="D73" s="14" t="str">
        <x:v>RA §9</x:v>
      </x:c>
      <x:c r="E73" s="14" t="str">
        <x:v>S00</x:v>
      </x:c>
      <x:c r="F73" s="14" t="str">
        <x:v>CT-010; CT-064</x:v>
      </x:c>
      <x:c r="G73" s="22" t="str">
        <x:v>Unresolved</x:v>
      </x:c>
      <x:c r="H73" s="22" t="str"/>
      <x:c r="I73" s="22" t="str"/>
      <x:c r="J73" s="22" t="str"/>
      <x:c r="K73" s="22" t="str"/>
    </x:row>
    <x:row r="74" ht="61" customHeight="1">
      <x:c r="A74" s="14" t="str">
        <x:v>EXP-001</x:v>
      </x:c>
      <x:c r="B74" s="14" t="str">
        <x:v>Exposure SHALL remain disabled until current-generation boundary, certificate, backend, logging and authorization gates pass; exposure revocation SHALL enforce the approved existing-session policy.</x:v>
      </x:c>
      <x:c r="C74" s="14" t="str">
        <x:v>Security-edge operations</x:v>
      </x:c>
      <x:c r="D74" s="14" t="str">
        <x:v>RA §9</x:v>
      </x:c>
      <x:c r="E74" s="14" t="str">
        <x:v>S00</x:v>
      </x:c>
      <x:c r="F74" s="14" t="str">
        <x:v>CT-063; CT-069; CT-077</x:v>
      </x:c>
      <x:c r="G74" s="22" t="str">
        <x:v>Unresolved</x:v>
      </x:c>
      <x:c r="H74" s="22" t="str"/>
      <x:c r="I74" s="22" t="str"/>
      <x:c r="J74" s="22" t="str"/>
      <x:c r="K74" s="22" t="str"/>
    </x:row>
    <x:row r="75" ht="48" customHeight="1">
      <x:c r="A75" s="14" t="str">
        <x:v>MICRO-001</x:v>
      </x:c>
      <x:c r="B75" s="14" t="str">
        <x:v>WSD-to-WSD and tier-to-tier communication inside a shared Security Domain Instance SHALL be denied unless an approved policy explicitly permits it.</x:v>
      </x:c>
      <x:c r="C75" s="14" t="str">
        <x:v>Platform engineering</x:v>
      </x:c>
      <x:c r="D75" s="14" t="str">
        <x:v>RA §7; RA §11</x:v>
      </x:c>
      <x:c r="E75" s="14" t="str">
        <x:v>S00</x:v>
      </x:c>
      <x:c r="F75" s="14" t="str">
        <x:v>CT-021; CT-066</x:v>
      </x:c>
      <x:c r="G75" s="22" t="str">
        <x:v>Unresolved</x:v>
      </x:c>
      <x:c r="H75" s="22" t="str"/>
      <x:c r="I75" s="22" t="str"/>
      <x:c r="J75" s="22" t="str"/>
      <x:c r="K75" s="22" t="str"/>
    </x:row>
    <x:row r="76" ht="48" customHeight="1">
      <x:c r="A76" s="14" t="str">
        <x:v>MICRO-002</x:v>
      </x:c>
      <x:c r="B76" s="14" t="str">
        <x:v>Platform metadata used for security policy SHALL be managed, validated, and protected from unauthorized tenant modification.</x:v>
      </x:c>
      <x:c r="C76" s="14" t="str">
        <x:v>Platform engineering</x:v>
      </x:c>
      <x:c r="D76" s="14" t="str">
        <x:v>RA §7; RA §11</x:v>
      </x:c>
      <x:c r="E76" s="14" t="str">
        <x:v>S00</x:v>
      </x:c>
      <x:c r="F76" s="14" t="str">
        <x:v>CT-020; CT-066</x:v>
      </x:c>
      <x:c r="G76" s="22" t="str">
        <x:v>Unresolved</x:v>
      </x:c>
      <x:c r="H76" s="22" t="str"/>
      <x:c r="I76" s="22" t="str"/>
      <x:c r="J76" s="22" t="str"/>
      <x:c r="K76" s="22" t="str"/>
    </x:row>
    <x:row r="77" ht="61" customHeight="1">
      <x:c r="A77" s="14" t="str">
        <x:v>MICRO-003</x:v>
      </x:c>
      <x:c r="B77" s="14" t="str">
        <x:v>The platform SHALL prevent unapproved NIC, source-identity, privileged-workload and label changes from bypassing mandatory segmentation; effective policy SHALL be verified for same-host and cross-host traffic.</x:v>
      </x:c>
      <x:c r="C77" s="14" t="str">
        <x:v>Platform engineering</x:v>
      </x:c>
      <x:c r="D77" s="14" t="str">
        <x:v>RA §7; RA §11</x:v>
      </x:c>
      <x:c r="E77" s="14" t="str">
        <x:v>S00</x:v>
      </x:c>
      <x:c r="F77" s="14" t="str">
        <x:v>CT-020; CT-021; CT-022; CT-065</x:v>
      </x:c>
      <x:c r="G77" s="22" t="str">
        <x:v>Unresolved</x:v>
      </x:c>
      <x:c r="H77" s="22" t="str"/>
      <x:c r="I77" s="22" t="str"/>
      <x:c r="J77" s="22" t="str"/>
      <x:c r="K77" s="22" t="str"/>
    </x:row>
    <x:row r="78" ht="61" customHeight="1">
      <x:c r="A78" s="14" t="str">
        <x:v>EDGE-001</x:v>
      </x:c>
      <x:c r="B78" s="14" t="str">
        <x:v>Every domain-to-boundary attachment SHALL have a provider-owned EdgeAttachment record covering forwarding authority, isolation, MTU, HA, capacity and cleanup; consumers SHALL NOT choose its native topology identifiers.</x:v>
      </x:c>
      <x:c r="C78" s="14" t="str">
        <x:v>Network engineering</x:v>
      </x:c>
      <x:c r="D78" s="14" t="str">
        <x:v>RA §8; RA §16; RA §17; RA §18</x:v>
      </x:c>
      <x:c r="E78" s="14" t="str">
        <x:v>S00</x:v>
      </x:c>
      <x:c r="F78" s="14" t="str">
        <x:v>CT-023; CT-024; CT-032; CT-071</x:v>
      </x:c>
      <x:c r="G78" s="22" t="str">
        <x:v>Unresolved</x:v>
      </x:c>
      <x:c r="H78" s="22" t="str"/>
      <x:c r="I78" s="22" t="str"/>
      <x:c r="J78" s="22" t="str"/>
      <x:c r="K78" s="22" t="str"/>
    </x:row>
    <x:row r="79" ht="61" customHeight="1">
      <x:c r="A79" s="14" t="str">
        <x:v>EDGE-002</x:v>
      </x:c>
      <x:c r="B79" s="14" t="str">
        <x:v>A shared attachment SHALL be prohibited unless direct connected, neighbor, gateway and NAT/PBR paths preserve the required domain isolation and ZIP enforcement in normal and failure states.</x:v>
      </x:c>
      <x:c r="C79" s="14" t="str">
        <x:v>Security authority</x:v>
      </x:c>
      <x:c r="D79" s="14" t="str">
        <x:v>RA §8; RA §16; RA §17; RA §18</x:v>
      </x:c>
      <x:c r="E79" s="14" t="str">
        <x:v>S00</x:v>
      </x:c>
      <x:c r="F79" s="14" t="str">
        <x:v>CT-023; CT-024; CT-080</x:v>
      </x:c>
      <x:c r="G79" s="22" t="str">
        <x:v>Unresolved</x:v>
      </x:c>
      <x:c r="H79" s="22" t="str"/>
      <x:c r="I79" s="22" t="str"/>
      <x:c r="J79" s="22" t="str"/>
      <x:c r="K79" s="22" t="str"/>
    </x:row>
    <x:row r="80" ht="38" customHeight="1">
      <x:c r="A80" s="14" t="str">
        <x:v>SITE-001</x:v>
      </x:c>
      <x:c r="B80" s="14" t="str">
        <x:v>Security Domain Instances SHOULD be site-local by default.</x:v>
      </x:c>
      <x:c r="C80" s="14" t="str">
        <x:v>Platform engineering</x:v>
      </x:c>
      <x:c r="D80" s="14" t="str">
        <x:v>RA §14; RA §27</x:v>
      </x:c>
      <x:c r="E80" s="14" t="str">
        <x:v>S00</x:v>
      </x:c>
      <x:c r="F80" s="14" t="str">
        <x:v>CT-054; CT-055</x:v>
      </x:c>
      <x:c r="G80" s="22" t="str">
        <x:v>Unresolved</x:v>
      </x:c>
      <x:c r="H80" s="22" t="str"/>
      <x:c r="I80" s="22" t="str"/>
      <x:c r="J80" s="22" t="str"/>
      <x:c r="K80" s="22" t="str"/>
    </x:row>
    <x:row r="81" ht="48" customHeight="1">
      <x:c r="A81" s="14" t="str">
        <x:v>SITE-002</x:v>
      </x:c>
      <x:c r="B81" s="14" t="str">
        <x:v>Layer-2 stretch across sites SHALL require a documented application/availability requirement and failure-domain analysis.</x:v>
      </x:c>
      <x:c r="C81" s="14" t="str">
        <x:v>Architecture authority</x:v>
      </x:c>
      <x:c r="D81" s="14" t="str">
        <x:v>RA §14; RA §27</x:v>
      </x:c>
      <x:c r="E81" s="14" t="str">
        <x:v>S00</x:v>
      </x:c>
      <x:c r="F81" s="14" t="str">
        <x:v>CT-054</x:v>
      </x:c>
      <x:c r="G81" s="22" t="str">
        <x:v>Unresolved</x:v>
      </x:c>
      <x:c r="H81" s="22" t="str"/>
      <x:c r="I81" s="22" t="str"/>
      <x:c r="J81" s="22" t="str"/>
      <x:c r="K81" s="22" t="str"/>
    </x:row>
    <x:row r="82" ht="48" customHeight="1">
      <x:c r="A82" s="14" t="str">
        <x:v>SITE-003</x:v>
      </x:c>
      <x:c r="B82" s="14" t="str">
        <x:v>Recovery-site connectivity SHALL be pre-authorized and tested; emergency recovery SHALL NOT depend on ad hoc route leaking.</x:v>
      </x:c>
      <x:c r="C82" s="14" t="str">
        <x:v>Recovery operations</x:v>
      </x:c>
      <x:c r="D82" s="14" t="str">
        <x:v>RA §14; RA §27</x:v>
      </x:c>
      <x:c r="E82" s="14" t="str">
        <x:v>S00</x:v>
      </x:c>
      <x:c r="F82" s="14" t="str">
        <x:v>CT-052; CT-054</x:v>
      </x:c>
      <x:c r="G82" s="22" t="str">
        <x:v>Unresolved</x:v>
      </x:c>
      <x:c r="H82" s="22" t="str"/>
      <x:c r="I82" s="22" t="str"/>
      <x:c r="J82" s="22" t="str"/>
      <x:c r="K82" s="22" t="str"/>
    </x:row>
    <x:row r="83" ht="61" customHeight="1">
      <x:c r="A83" s="14" t="str">
        <x:v>SITE-004</x:v>
      </x:c>
      <x:c r="B83" s="14" t="str">
        <x:v>Recovery placement SHALL preserve domain, co-residency, cryptographic, identity and location constraints; writer fencing and failback ownership SHALL be proven before production recovery is offered.</x:v>
      </x:c>
      <x:c r="C83" s="14" t="str">
        <x:v>Recovery operations</x:v>
      </x:c>
      <x:c r="D83" s="14" t="str">
        <x:v>RA §14; RA §27</x:v>
      </x:c>
      <x:c r="E83" s="14" t="str">
        <x:v>S00</x:v>
      </x:c>
      <x:c r="F83" s="14" t="str">
        <x:v>CT-035; CT-038; CT-054; CT-061</x:v>
      </x:c>
      <x:c r="G83" s="22" t="str">
        <x:v>Unresolved</x:v>
      </x:c>
      <x:c r="H83" s="22" t="str"/>
      <x:c r="I83" s="22" t="str"/>
      <x:c r="J83" s="22" t="str"/>
      <x:c r="K83" s="22" t="str"/>
    </x:row>
    <x:row r="84" ht="61" customHeight="1">
      <x:c r="A84" s="14" t="str">
        <x:v>CMP-001</x:v>
      </x:c>
      <x:c r="B84" s="14" t="str">
        <x:v>Compute placement, maintenance evacuation, migration and HA restart SHALL enforce the approved tenant/domain/zone co-residency matrix; no scheduler action SHALL silently weaken it.</x:v>
      </x:c>
      <x:c r="C84" s="14" t="str">
        <x:v>Platform engineering</x:v>
      </x:c>
      <x:c r="D84" s="14" t="str">
        <x:v>RA §7; RA §11</x:v>
      </x:c>
      <x:c r="E84" s="14" t="str">
        <x:v>S03</x:v>
      </x:c>
      <x:c r="F84" s="14" t="str">
        <x:v>CT-035; CT-056</x:v>
      </x:c>
      <x:c r="G84" s="22" t="str">
        <x:v>Unresolved</x:v>
      </x:c>
      <x:c r="H84" s="22" t="str"/>
      <x:c r="I84" s="22" t="str"/>
      <x:c r="J84" s="22" t="str"/>
      <x:c r="K84" s="22" t="str"/>
    </x:row>
    <x:row r="85" ht="61" customHeight="1">
      <x:c r="A85" s="14" t="str">
        <x:v>CMP-002</x:v>
      </x:c>
      <x:c r="B85" s="14" t="str">
        <x:v>Each compute profile SHALL define supported hardware/software, boot/attestation controls, administrative isolation, resource guarantees, overcommit policy and handling of unsupported devices.</x:v>
      </x:c>
      <x:c r="C85" s="14" t="str">
        <x:v>Platform engineering</x:v>
      </x:c>
      <x:c r="D85" s="14" t="str">
        <x:v>RA §7; RA §11</x:v>
      </x:c>
      <x:c r="E85" s="14" t="str">
        <x:v>S03; S07</x:v>
      </x:c>
      <x:c r="F85" s="14" t="str">
        <x:v>CT-036; CT-039; CT-073</x:v>
      </x:c>
      <x:c r="G85" s="22" t="str">
        <x:v>Unresolved</x:v>
      </x:c>
      <x:c r="H85" s="22" t="str"/>
      <x:c r="I85" s="22" t="str"/>
      <x:c r="J85" s="22" t="str"/>
      <x:c r="K85" s="22" t="str"/>
    </x:row>
    <x:row r="86" ht="48" customHeight="1">
      <x:c r="A86" s="14" t="str">
        <x:v>CMP-003</x:v>
      </x:c>
      <x:c r="B86" s="14" t="str">
        <x:v>The meaning of dedicated compute SHALL state its exact physical and administrative scope and disclose any shared storage, network, control, support or recovery dependency.</x:v>
      </x:c>
      <x:c r="C86" s="14" t="str">
        <x:v>Architecture authority</x:v>
      </x:c>
      <x:c r="D86" s="14" t="str">
        <x:v>RA §7; RA §11</x:v>
      </x:c>
      <x:c r="E86" s="14" t="str">
        <x:v>S00</x:v>
      </x:c>
      <x:c r="F86" s="14" t="str">
        <x:v>CT-035; CT-062</x:v>
      </x:c>
      <x:c r="G86" s="22" t="str">
        <x:v>Unresolved</x:v>
      </x:c>
      <x:c r="H86" s="22" t="str"/>
      <x:c r="I86" s="22" t="str"/>
      <x:c r="J86" s="22" t="str"/>
      <x:c r="K86" s="22" t="str"/>
    </x:row>
    <x:row r="87" ht="61" customHeight="1">
      <x:c r="A87" s="14" t="str">
        <x:v>STO-001</x:v>
      </x:c>
      <x:c r="B87" s="14" t="str">
        <x:v>Every storage resource and derivative copy SHALL carry owner, categorization, access scope, key policy, placement/retention constraints and lineage; cross-scope attachment or export SHALL require explicit authorization.</x:v>
      </x:c>
      <x:c r="C87" s="14" t="str">
        <x:v>Storage operations</x:v>
      </x:c>
      <x:c r="D87" s="14" t="str">
        <x:v>RA §12</x:v>
      </x:c>
      <x:c r="E87" s="14" t="str">
        <x:v>S00</x:v>
      </x:c>
      <x:c r="F87" s="14" t="str">
        <x:v>CT-037; CT-053; CT-078</x:v>
      </x:c>
      <x:c r="G87" s="22" t="str">
        <x:v>Unresolved</x:v>
      </x:c>
      <x:c r="H87" s="22" t="str"/>
      <x:c r="I87" s="22" t="str"/>
      <x:c r="J87" s="22" t="str"/>
      <x:c r="K87" s="22" t="str"/>
    </x:row>
    <x:row r="88" ht="61" customHeight="1">
      <x:c r="A88" s="14" t="str">
        <x:v>STO-002</x:v>
      </x:c>
      <x:c r="B88" s="14" t="str">
        <x:v>Storage service profiles SHALL define measurable capacity/performance, consistency, replication, snapshot/clone and portability semantics and SHALL be tested under contention and the accepted failure condition.</x:v>
      </x:c>
      <x:c r="C88" s="14" t="str">
        <x:v>Storage operations</x:v>
      </x:c>
      <x:c r="D88" s="14" t="str">
        <x:v>RA §12</x:v>
      </x:c>
      <x:c r="E88" s="14" t="str">
        <x:v>S00</x:v>
      </x:c>
      <x:c r="F88" s="14" t="str">
        <x:v>CT-039; CT-052; CT-060</x:v>
      </x:c>
      <x:c r="G88" s="22" t="str">
        <x:v>Unresolved</x:v>
      </x:c>
      <x:c r="H88" s="22" t="str"/>
      <x:c r="I88" s="22" t="str"/>
      <x:c r="J88" s="22" t="str"/>
      <x:c r="K88" s="22" t="str"/>
    </x:row>
    <x:row r="89" ht="61" customHeight="1">
      <x:c r="A89" s="14" t="str">
        <x:v>STO-003</x:v>
      </x:c>
      <x:c r="B89" s="14" t="str">
        <x:v>Storage release and reuse SHALL reconcile all known copies and legal/administrative holds, apply an approved sanitization method and retain a receipt describing scope, method, verification and exceptions.</x:v>
      </x:c>
      <x:c r="C89" s="14" t="str">
        <x:v>Storage operations</x:v>
      </x:c>
      <x:c r="D89" s="14" t="str">
        <x:v>RA §12</x:v>
      </x:c>
      <x:c r="E89" s="14" t="str">
        <x:v>S27</x:v>
      </x:c>
      <x:c r="F89" s="14" t="str">
        <x:v>CT-053; CT-059; CT-078</x:v>
      </x:c>
      <x:c r="G89" s="22" t="str">
        <x:v>Unresolved</x:v>
      </x:c>
      <x:c r="H89" s="22" t="str"/>
      <x:c r="I89" s="22" t="str"/>
      <x:c r="J89" s="22" t="str"/>
      <x:c r="K89" s="22" t="str"/>
    </x:row>
    <x:row r="90" ht="61" customHeight="1">
      <x:c r="A90" s="14" t="str">
        <x:v>IAM-001</x:v>
      </x:c>
      <x:c r="B90" s="14" t="str">
        <x:v>Human, workload and automation identities SHALL have separately scoped authorization, credential lifecycle and accountability; no tenant identity SHALL acquire provider foundation authority through role or group inheritance.</x:v>
      </x:c>
      <x:c r="C90" s="14" t="str">
        <x:v>Identity operations</x:v>
      </x:c>
      <x:c r="D90" s="14" t="str">
        <x:v>RA §13</x:v>
      </x:c>
      <x:c r="E90" s="14" t="str">
        <x:v>S07</x:v>
      </x:c>
      <x:c r="F90" s="14" t="str">
        <x:v>CT-019; CT-027; CT-028</x:v>
      </x:c>
      <x:c r="G90" s="22" t="str">
        <x:v>Unresolved</x:v>
      </x:c>
      <x:c r="H90" s="22" t="str"/>
      <x:c r="I90" s="22" t="str"/>
      <x:c r="J90" s="22" t="str"/>
      <x:c r="K90" s="22" t="str"/>
    </x:row>
    <x:row r="91" ht="61" customHeight="1">
      <x:c r="A91" s="14" t="str">
        <x:v>IAM-002</x:v>
      </x:c>
      <x:c r="B91" s="14" t="str">
        <x:v>Privileged access SHALL use the approved hardened path, strong authentication, least privilege and time-bound delegation; emergency and supplier access SHALL be logged, tested and revoked after use.</x:v>
      </x:c>
      <x:c r="C91" s="14" t="str">
        <x:v>Identity operations</x:v>
      </x:c>
      <x:c r="D91" s="14" t="str">
        <x:v>RA §13</x:v>
      </x:c>
      <x:c r="E91" s="14" t="str">
        <x:v>S07</x:v>
      </x:c>
      <x:c r="F91" s="14" t="str">
        <x:v>CT-026; CT-027; CT-079</x:v>
      </x:c>
      <x:c r="G91" s="22" t="str">
        <x:v>Unresolved</x:v>
      </x:c>
      <x:c r="H91" s="22" t="str"/>
      <x:c r="I91" s="22" t="str"/>
      <x:c r="J91" s="22" t="str"/>
      <x:c r="K91" s="22" t="str"/>
    </x:row>
    <x:row r="92" ht="48" customHeight="1">
      <x:c r="A92" s="14" t="str">
        <x:v>IAM-003</x:v>
      </x:c>
      <x:c r="B92" s="14" t="str">
        <x:v>Credential and session revocation SHALL be verified at the consuming service within the approved propagation interval, including cached tokens and delegated grants.</x:v>
      </x:c>
      <x:c r="C92" s="14" t="str">
        <x:v>Identity operations</x:v>
      </x:c>
      <x:c r="D92" s="14" t="str">
        <x:v>RA §13</x:v>
      </x:c>
      <x:c r="E92" s="14" t="str">
        <x:v>S00</x:v>
      </x:c>
      <x:c r="F92" s="14" t="str">
        <x:v>CT-028; CT-077; CT-079</x:v>
      </x:c>
      <x:c r="G92" s="22" t="str">
        <x:v>Unresolved</x:v>
      </x:c>
      <x:c r="H92" s="22" t="str"/>
      <x:c r="I92" s="22" t="str"/>
      <x:c r="J92" s="22" t="str"/>
      <x:c r="K92" s="22" t="str"/>
    </x:row>
    <x:row r="93" ht="74" customHeight="1">
      <x:c r="A93" s="14" t="str">
        <x:v>CRY-001</x:v>
      </x:c>
      <x:c r="B93" s="14" t="str">
        <x:v>Protected data services SHALL enforce their versioned cryptographic profile at rest and in transit; the profile SHALL identify approved algorithms/modes, endpoint identity validation, module/operating-environment evidence and exceptions.</x:v>
      </x:c>
      <x:c r="C93" s="14" t="str">
        <x:v>Security authority</x:v>
      </x:c>
      <x:c r="D93" s="14" t="str">
        <x:v>RA §13</x:v>
      </x:c>
      <x:c r="E93" s="14" t="str">
        <x:v>S09; S10</x:v>
      </x:c>
      <x:c r="F93" s="14" t="str">
        <x:v>CT-028; CT-038; CT-063</x:v>
      </x:c>
      <x:c r="G93" s="22" t="str">
        <x:v>Unresolved</x:v>
      </x:c>
      <x:c r="H93" s="22" t="str"/>
      <x:c r="I93" s="22" t="str"/>
      <x:c r="J93" s="22" t="str"/>
      <x:c r="K93" s="22" t="str"/>
    </x:row>
    <x:row r="94" ht="61" customHeight="1">
      <x:c r="A94" s="14" t="str">
        <x:v>CRY-002</x:v>
      </x:c>
      <x:c r="B94" s="14" t="str">
        <x:v>Key use, administration, recovery and destruction SHALL have explicit separated authority and dependency records; key destruction SHALL NOT invalidate required retained-data recovery without an approved disposition decision.</x:v>
      </x:c>
      <x:c r="C94" s="14" t="str">
        <x:v>Key-management operations</x:v>
      </x:c>
      <x:c r="D94" s="14" t="str">
        <x:v>RA §13</x:v>
      </x:c>
      <x:c r="E94" s="14" t="str">
        <x:v>S09</x:v>
      </x:c>
      <x:c r="F94" s="14" t="str">
        <x:v>CT-038; CT-053; CT-059</x:v>
      </x:c>
      <x:c r="G94" s="22" t="str">
        <x:v>Unresolved</x:v>
      </x:c>
      <x:c r="H94" s="22" t="str"/>
      <x:c r="I94" s="22" t="str"/>
      <x:c r="J94" s="22" t="str"/>
      <x:c r="K94" s="22" t="str"/>
    </x:row>
    <x:row r="95" ht="61" customHeight="1">
      <x:c r="A95" s="14" t="str">
        <x:v>CRY-003</x:v>
      </x:c>
      <x:c r="B95" s="14" t="str">
        <x:v>KMS/trust-service outage behavior SHALL be tested and SHALL NOT enable plaintext fallback; cryptographic inventory, certificate rotation and algorithm-transition plans SHALL be maintained.</x:v>
      </x:c>
      <x:c r="C95" s="14" t="str">
        <x:v>Key-management operations</x:v>
      </x:c>
      <x:c r="D95" s="14" t="str">
        <x:v>RA §13</x:v>
      </x:c>
      <x:c r="E95" s="14" t="str">
        <x:v>S09; S10</x:v>
      </x:c>
      <x:c r="F95" s="14" t="str">
        <x:v>CT-028; CT-038; CT-055</x:v>
      </x:c>
      <x:c r="G95" s="22" t="str">
        <x:v>Unresolved</x:v>
      </x:c>
      <x:c r="H95" s="22" t="str"/>
      <x:c r="I95" s="22" t="str"/>
      <x:c r="J95" s="22" t="str"/>
      <x:c r="K95" s="22" t="str"/>
    </x:row>
    <x:row r="96" ht="61" customHeight="1">
      <x:c r="A96" s="14" t="str">
        <x:v>IMG-001</x:v>
      </x:c>
      <x:c r="B96" s="14" t="str">
        <x:v>Only approved versioned images and baselines SHALL be deployed; each SHALL include provenance, digest, support status, hardening and vulnerability disposition with a retirement/rebuild policy.</x:v>
      </x:c>
      <x:c r="C96" s="14" t="str">
        <x:v>Platform engineering</x:v>
      </x:c>
      <x:c r="D96" s="14" t="str">
        <x:v>RA §11</x:v>
      </x:c>
      <x:c r="E96" s="14" t="str">
        <x:v>S07</x:v>
      </x:c>
      <x:c r="F96" s="14" t="str">
        <x:v>CT-036; CT-040; CT-041</x:v>
      </x:c>
      <x:c r="G96" s="22" t="str">
        <x:v>Unresolved</x:v>
      </x:c>
      <x:c r="H96" s="22" t="str"/>
      <x:c r="I96" s="22" t="str"/>
      <x:c r="J96" s="22" t="str"/>
      <x:c r="K96" s="22" t="str"/>
    </x:row>
    <x:row r="97" ht="61" customHeight="1">
      <x:c r="A97" s="14" t="str">
        <x:v>IMG-002</x:v>
      </x:c>
      <x:c r="B97" s="14" t="str">
        <x:v>Runtime configuration SHALL be verified against the required baseline after provisioning and material change; unsupported protection agents or disabled mandatory controls SHALL not be silently accepted.</x:v>
      </x:c>
      <x:c r="C97" s="14" t="str">
        <x:v>Platform engineering</x:v>
      </x:c>
      <x:c r="D97" s="14" t="str">
        <x:v>RA §11</x:v>
      </x:c>
      <x:c r="E97" s="14" t="str">
        <x:v>S00</x:v>
      </x:c>
      <x:c r="F97" s="14" t="str">
        <x:v>CT-014; CT-036; CT-040</x:v>
      </x:c>
      <x:c r="G97" s="22" t="str">
        <x:v>Unresolved</x:v>
      </x:c>
      <x:c r="H97" s="22" t="str"/>
      <x:c r="I97" s="22" t="str"/>
      <x:c r="J97" s="22" t="str"/>
      <x:c r="K97" s="22" t="str"/>
    </x:row>
    <x:row r="98" ht="48" customHeight="1">
      <x:c r="A98" s="14" t="str">
        <x:v>BKP-001</x:v>
      </x:c>
      <x:c r="B98" s="14" t="str">
        <x:v>Backup consumers SHALL NOT receive connectivity to backup management interfaces merely because they consume backup service.</x:v>
      </x:c>
      <x:c r="C98" s="14" t="str">
        <x:v>Backup operations</x:v>
      </x:c>
      <x:c r="D98" s="14" t="str">
        <x:v>RA §12; RA §27</x:v>
      </x:c>
      <x:c r="E98" s="14" t="str">
        <x:v>S00</x:v>
      </x:c>
      <x:c r="F98" s="14" t="str">
        <x:v>CT-004; CT-051</x:v>
      </x:c>
      <x:c r="G98" s="22" t="str">
        <x:v>Unresolved</x:v>
      </x:c>
      <x:c r="H98" s="22" t="str"/>
      <x:c r="I98" s="22" t="str"/>
      <x:c r="J98" s="22" t="str"/>
      <x:c r="K98" s="22" t="str"/>
    </x:row>
    <x:row r="99" ht="48" customHeight="1">
      <x:c r="A99" s="14" t="str">
        <x:v>BKP-002</x:v>
      </x:c>
      <x:c r="B99" s="14" t="str">
        <x:v>Restore workflows SHALL enforce the same tenant, security-zone, identity, and evidence controls as backup ingestion.</x:v>
      </x:c>
      <x:c r="C99" s="14" t="str">
        <x:v>Backup operations</x:v>
      </x:c>
      <x:c r="D99" s="14" t="str">
        <x:v>RA §12; RA §27</x:v>
      </x:c>
      <x:c r="E99" s="14" t="str">
        <x:v>S00</x:v>
      </x:c>
      <x:c r="F99" s="14" t="str">
        <x:v>CT-052; CT-054</x:v>
      </x:c>
      <x:c r="G99" s="22" t="str">
        <x:v>Unresolved</x:v>
      </x:c>
      <x:c r="H99" s="22" t="str"/>
      <x:c r="I99" s="22" t="str"/>
      <x:c r="J99" s="22" t="str"/>
      <x:c r="K99" s="22" t="str"/>
    </x:row>
    <x:row r="100" ht="61" customHeight="1">
      <x:c r="A100" s="14" t="str">
        <x:v>BKP-003</x:v>
      </x:c>
      <x:c r="B100" s="14" t="str">
        <x:v>Every protected production WSD SHALL have a BackupPolicy with consistency, retention, location, key and protected-copy requirements; successful isolated restore SHALL be demonstrated at the policy cadence.</x:v>
      </x:c>
      <x:c r="C100" s="14" t="str">
        <x:v>Backup operations</x:v>
      </x:c>
      <x:c r="D100" s="14" t="str">
        <x:v>RA §12; RA §27</x:v>
      </x:c>
      <x:c r="E100" s="14" t="str">
        <x:v>S00</x:v>
      </x:c>
      <x:c r="F100" s="14" t="str">
        <x:v>CT-051; CT-052; CT-053</x:v>
      </x:c>
      <x:c r="G100" s="22" t="str">
        <x:v>Unresolved</x:v>
      </x:c>
      <x:c r="H100" s="22" t="str"/>
      <x:c r="I100" s="22" t="str"/>
      <x:c r="J100" s="22" t="str"/>
      <x:c r="K100" s="22" t="str"/>
    </x:row>
    <x:row r="101" ht="61" customHeight="1">
      <x:c r="A101" s="14" t="str">
        <x:v>BKP-004</x:v>
      </x:c>
      <x:c r="B101" s="14" t="str">
        <x:v>Production credentials SHALL NOT be able to destroy or reduce the protection of recovery copies designated independent/immutable; retained copies SHALL keep the keys and catalogue required for authorized recovery.</x:v>
      </x:c>
      <x:c r="C101" s="14" t="str">
        <x:v>Backup operations</x:v>
      </x:c>
      <x:c r="D101" s="14" t="str">
        <x:v>RA §12; RA §27</x:v>
      </x:c>
      <x:c r="E101" s="14" t="str">
        <x:v>S00</x:v>
      </x:c>
      <x:c r="F101" s="14" t="str">
        <x:v>CT-038; CT-051; CT-053</x:v>
      </x:c>
      <x:c r="G101" s="22" t="str">
        <x:v>Unresolved</x:v>
      </x:c>
      <x:c r="H101" s="22" t="str"/>
      <x:c r="I101" s="22" t="str"/>
      <x:c r="J101" s="22" t="str"/>
      <x:c r="K101" s="22" t="str"/>
    </x:row>
    <x:row r="102" ht="61" customHeight="1">
      <x:c r="A102" s="14" t="str">
        <x:v>REL-001</x:v>
      </x:c>
      <x:c r="B102" s="14" t="str">
        <x:v>Availability and recovery profiles SHALL define measurement scope, SLO, failure tolerance, maintenance treatment, RTO/RPO, consistency, dependencies and test cadence; impact categorization SHALL NOT substitute for these values.</x:v>
      </x:c>
      <x:c r="C102" s="14" t="str">
        <x:v>Service owner</x:v>
      </x:c>
      <x:c r="D102" s="14" t="str">
        <x:v>RA §14; RA §26</x:v>
      </x:c>
      <x:c r="E102" s="14" t="str">
        <x:v>S00</x:v>
      </x:c>
      <x:c r="F102" s="14" t="str">
        <x:v>CT-012; CT-052; CT-054; CT-062</x:v>
      </x:c>
      <x:c r="G102" s="22" t="str">
        <x:v>Unresolved</x:v>
      </x:c>
      <x:c r="H102" s="22" t="str"/>
      <x:c r="I102" s="22" t="str"/>
      <x:c r="J102" s="22" t="str"/>
      <x:c r="K102" s="22" t="str"/>
    </x:row>
    <x:row r="103" ht="61" customHeight="1">
      <x:c r="A103" s="14" t="str">
        <x:v>REL-002</x:v>
      </x:c>
      <x:c r="B103" s="14" t="str">
        <x:v>Recovery/HA capabilities SHALL be measured under the approved load and failure scenario before a platform offers the profile; reported SLOs SHALL disclose exclusions and actual breaches.</x:v>
      </x:c>
      <x:c r="C103" s="14" t="str">
        <x:v>Operations/SRE</x:v>
      </x:c>
      <x:c r="D103" s="14" t="str">
        <x:v>RA §14; RA §26</x:v>
      </x:c>
      <x:c r="E103" s="14" t="str">
        <x:v>S00</x:v>
      </x:c>
      <x:c r="F103" s="14" t="str">
        <x:v>CT-012; CT-039; CT-054; CT-056</x:v>
      </x:c>
      <x:c r="G103" s="22" t="str">
        <x:v>Unresolved</x:v>
      </x:c>
      <x:c r="H103" s="22" t="str"/>
      <x:c r="I103" s="22" t="str"/>
      <x:c r="J103" s="22" t="str"/>
      <x:c r="K103" s="22" t="str"/>
    </x:row>
    <x:row r="104" ht="61" customHeight="1">
      <x:c r="A104" s="14" t="str">
        <x:v>PLACE-001</x:v>
      </x:c>
      <x:c r="B104" s="14" t="str">
        <x:v>Placement SHALL satisfy all mandatory security, assurance, location, lifecycle, capacity and recovery constraints using a current qualified platform profile; unresolved or conflicting constraints SHALL reject the request.</x:v>
      </x:c>
      <x:c r="C104" s="14" t="str">
        <x:v>Automation platform</x:v>
      </x:c>
      <x:c r="D104" s="14" t="str">
        <x:v>RA §13; RA §14</x:v>
      </x:c>
      <x:c r="E104" s="14" t="str">
        <x:v>S00</x:v>
      </x:c>
      <x:c r="F104" s="14" t="str">
        <x:v>CT-018; CT-035; CT-056; CT-061</x:v>
      </x:c>
      <x:c r="G104" s="22" t="str">
        <x:v>Unresolved</x:v>
      </x:c>
      <x:c r="H104" s="22" t="str"/>
      <x:c r="I104" s="22" t="str"/>
      <x:c r="J104" s="22" t="str"/>
      <x:c r="K104" s="22" t="str"/>
    </x:row>
    <x:row r="105" ht="61" customHeight="1">
      <x:c r="A105" s="14" t="str">
        <x:v>PLACE-002</x:v>
      </x:c>
      <x:c r="B105" s="14" t="str">
        <x:v>Data, backup, telemetry, diagnostic, control-plane, administrative-access and key locations/control constraints SHALL be represented separately and enforced through approved profiles and agreements.</x:v>
      </x:c>
      <x:c r="C105" s="14" t="str">
        <x:v>Service owner</x:v>
      </x:c>
      <x:c r="D105" s="14" t="str">
        <x:v>RA §13; RA §14</x:v>
      </x:c>
      <x:c r="E105" s="14" t="str">
        <x:v>S00</x:v>
      </x:c>
      <x:c r="F105" s="14" t="str">
        <x:v>CT-061; CT-079</x:v>
      </x:c>
      <x:c r="G105" s="22" t="str">
        <x:v>Unresolved</x:v>
      </x:c>
      <x:c r="H105" s="22" t="str"/>
      <x:c r="I105" s="22" t="str"/>
      <x:c r="J105" s="22" t="str"/>
      <x:c r="K105" s="22" t="str"/>
    </x:row>
    <x:row r="106" ht="74" customHeight="1">
      <x:c r="A106" s="14" t="str">
        <x:v>PLACE-003</x:v>
      </x:c>
      <x:c r="B106" s="14" t="str">
        <x:v>Each portable service class SHALL have a documented exit path, declared proprietary dependencies and representative export/recovery evidence; residency or format support alone SHALL NOT be presented as portability or sovereignty proof.</x:v>
      </x:c>
      <x:c r="C106" s="14" t="str">
        <x:v>Architecture authority</x:v>
      </x:c>
      <x:c r="D106" s="14" t="str">
        <x:v>RA §13; RA §14</x:v>
      </x:c>
      <x:c r="E106" s="14" t="str">
        <x:v>S00</x:v>
      </x:c>
      <x:c r="F106" s="14" t="str">
        <x:v>CT-060; CT-073</x:v>
      </x:c>
      <x:c r="G106" s="22" t="str">
        <x:v>Unresolved</x:v>
      </x:c>
      <x:c r="H106" s="22" t="str"/>
      <x:c r="I106" s="22" t="str"/>
      <x:c r="J106" s="22" t="str"/>
      <x:c r="K106" s="22" t="str"/>
    </x:row>
    <x:row r="107" ht="61" customHeight="1">
      <x:c r="A107" s="14" t="str">
        <x:v>SVCM-001</x:v>
      </x:c>
      <x:c r="B107" s="14" t="str">
        <x:v>The service catalogue SHALL publish entitlements, hard quotas, reservation semantics, availability/recovery targets, supported capabilities and lifecycle obligations with stable service identifiers.</x:v>
      </x:c>
      <x:c r="C107" s="14" t="str">
        <x:v>Service owner</x:v>
      </x:c>
      <x:c r="D107" s="14" t="str">
        <x:v>RA §4; RA §20</x:v>
      </x:c>
      <x:c r="E107" s="14" t="str">
        <x:v>S00</x:v>
      </x:c>
      <x:c r="F107" s="14" t="str">
        <x:v>CT-019; CT-056; CT-062</x:v>
      </x:c>
      <x:c r="G107" s="22" t="str">
        <x:v>Unresolved</x:v>
      </x:c>
      <x:c r="H107" s="22" t="str"/>
      <x:c r="I107" s="22" t="str"/>
      <x:c r="J107" s="22" t="str"/>
      <x:c r="K107" s="22" t="str"/>
    </x:row>
    <x:row r="108" ht="61" customHeight="1">
      <x:c r="A108" s="14" t="str">
        <x:v>SVCM-002</x:v>
      </x:c>
      <x:c r="B108" s="14" t="str">
        <x:v>Capacity inventory SHALL reconcile procured, staged, commissioned, available, reserved and consumed resources and SHALL report unused/stranded capacity, ownership and support-life exposure.</x:v>
      </x:c>
      <x:c r="C108" s="14" t="str">
        <x:v>Capacity management</x:v>
      </x:c>
      <x:c r="D108" s="14" t="str">
        <x:v>RA §4; RA §20</x:v>
      </x:c>
      <x:c r="E108" s="14" t="str">
        <x:v>S00</x:v>
      </x:c>
      <x:c r="F108" s="14" t="str">
        <x:v>CT-074</x:v>
      </x:c>
      <x:c r="G108" s="22" t="str">
        <x:v>Unresolved</x:v>
      </x:c>
      <x:c r="H108" s="22" t="str"/>
      <x:c r="I108" s="22" t="str"/>
      <x:c r="J108" s="22" t="str"/>
      <x:c r="K108" s="22" t="str"/>
    </x:row>
    <x:row r="109" ht="61" customHeight="1">
      <x:c r="A109" s="14" t="str">
        <x:v>RESP-001</x:v>
      </x:c>
      <x:c r="B109" s="14" t="str">
        <x:v>Every applicable infrastructure/application control and recovery dependency SHALL have a provider, tenant or shared responsibility assignment and evidence owner; unresolved mandatory responsibilities SHALL block Service Ready.</x:v>
      </x:c>
      <x:c r="C109" s="14" t="str">
        <x:v>Service owner</x:v>
      </x:c>
      <x:c r="D109" s="14" t="str">
        <x:v>RA §23; RA §26</x:v>
      </x:c>
      <x:c r="E109" s="14" t="str">
        <x:v>S05; S08</x:v>
      </x:c>
      <x:c r="F109" s="14" t="str">
        <x:v>CT-062; CT-069</x:v>
      </x:c>
      <x:c r="G109" s="22" t="str">
        <x:v>Unresolved</x:v>
      </x:c>
      <x:c r="H109" s="22" t="str"/>
      <x:c r="I109" s="22" t="str"/>
      <x:c r="J109" s="22" t="str"/>
      <x:c r="K109" s="22" t="str"/>
    </x:row>
    <x:row r="110" ht="74" customHeight="1">
      <x:c r="A110" s="14" t="str">
        <x:v>FAB-001</x:v>
      </x:c>
      <x:c r="B110" s="14" t="str">
        <x:v>Routine create, update and retirement of tenants/WSDs in a precommissioned overlay service class SHALL NOT require leaf/spine configuration changes; foundation growth and fabric-routed service classes SHALL use separately authorized workflows.</x:v>
      </x:c>
      <x:c r="C110" s="14" t="str">
        <x:v>Network engineering</x:v>
      </x:c>
      <x:c r="D110" s="14" t="str">
        <x:v>RA §5</x:v>
      </x:c>
      <x:c r="E110" s="14" t="str">
        <x:v>S00</x:v>
      </x:c>
      <x:c r="F110" s="14" t="str">
        <x:v>CT-071; CT-072</x:v>
      </x:c>
      <x:c r="G110" s="22" t="str">
        <x:v>Unresolved</x:v>
      </x:c>
      <x:c r="H110" s="22" t="str"/>
      <x:c r="I110" s="22" t="str"/>
      <x:c r="J110" s="22" t="str"/>
      <x:c r="K110" s="22" t="str"/>
    </x:row>
    <x:row r="111" ht="48" customHeight="1">
      <x:c r="A111" s="14" t="str">
        <x:v>FAB-002</x:v>
      </x:c>
      <x:c r="B111" s="14" t="str">
        <x:v>A physical VRF SHALL be created only when the physical fabric itself must provide L3 routing for a legitimate routing/security domain.</x:v>
      </x:c>
      <x:c r="C111" s="14" t="str">
        <x:v>Network engineering</x:v>
      </x:c>
      <x:c r="D111" s="14" t="str">
        <x:v>RA §5</x:v>
      </x:c>
      <x:c r="E111" s="14" t="str">
        <x:v>S00</x:v>
      </x:c>
      <x:c r="F111" s="14" t="str">
        <x:v>CT-009; CT-072</x:v>
      </x:c>
      <x:c r="G111" s="22" t="str">
        <x:v>Unresolved</x:v>
      </x:c>
      <x:c r="H111" s="22" t="str"/>
      <x:c r="I111" s="22" t="str"/>
      <x:c r="J111" s="22" t="str"/>
      <x:c r="K111" s="22" t="str"/>
    </x:row>
    <x:row r="112" ht="38" customHeight="1">
      <x:c r="A112" s="14" t="str">
        <x:v>FAB-003</x:v>
      </x:c>
      <x:c r="B112" s="14" t="str">
        <x:v>Function names such as backup, migration, platform, ZIP, or generic transit SHALL NOT by themselves justify a VRF.</x:v>
      </x:c>
      <x:c r="C112" s="14" t="str">
        <x:v>Architecture authority</x:v>
      </x:c>
      <x:c r="D112" s="14" t="str">
        <x:v>RA §5</x:v>
      </x:c>
      <x:c r="E112" s="14" t="str">
        <x:v>S00</x:v>
      </x:c>
      <x:c r="F112" s="14" t="str">
        <x:v>CT-025; CT-072</x:v>
      </x:c>
      <x:c r="G112" s="22" t="str">
        <x:v>Unresolved</x:v>
      </x:c>
      <x:c r="H112" s="22" t="str"/>
      <x:c r="I112" s="22" t="str"/>
      <x:c r="J112" s="22" t="str"/>
      <x:c r="K112" s="22" t="str"/>
    </x:row>
    <x:row r="113" ht="61" customHeight="1">
      <x:c r="A113" s="14" t="str">
        <x:v>FAB-004</x:v>
      </x:c>
      <x:c r="B113" s="14" t="str">
        <x:v>The fabric profile SHALL define addressing/routing authority, control-plane protection, MTU, fault convergence, management isolation, maintenance and measured scale before platform commissioning.</x:v>
      </x:c>
      <x:c r="C113" s="14" t="str">
        <x:v>Network engineering</x:v>
      </x:c>
      <x:c r="D113" s="14" t="str">
        <x:v>RA §5</x:v>
      </x:c>
      <x:c r="E113" s="14" t="str">
        <x:v>S20; S21; S22</x:v>
      </x:c>
      <x:c r="F113" s="14" t="str">
        <x:v>CT-026; CT-032; CT-033; CT-034</x:v>
      </x:c>
      <x:c r="G113" s="22" t="str">
        <x:v>Unresolved</x:v>
      </x:c>
      <x:c r="H113" s="22" t="str"/>
      <x:c r="I113" s="22" t="str"/>
      <x:c r="J113" s="22" t="str"/>
      <x:c r="K113" s="22" t="str"/>
    </x:row>
    <x:row r="114" ht="48" customHeight="1">
      <x:c r="A114" s="14" t="str">
        <x:v>EVPN-001</x:v>
      </x:c>
      <x:c r="B114" s="14" t="str">
        <x:v>When EVPN is used, RD/RT/VNI, gateway and multihoming policies SHALL be provider-owned, collision-checked and domain-scoped; unapproved route imports SHALL be denied.</x:v>
      </x:c>
      <x:c r="C114" s="14" t="str">
        <x:v>Network engineering</x:v>
      </x:c>
      <x:c r="D114" s="14" t="str">
        <x:v>RA §5</x:v>
      </x:c>
      <x:c r="E114" s="14" t="str">
        <x:v>S20; S21; S22</x:v>
      </x:c>
      <x:c r="F114" s="14" t="str">
        <x:v>CT-009; CT-033; CT-072</x:v>
      </x:c>
      <x:c r="G114" s="22" t="str">
        <x:v>Unresolved</x:v>
      </x:c>
      <x:c r="H114" s="22" t="str"/>
      <x:c r="I114" s="22" t="str"/>
      <x:c r="J114" s="22" t="str"/>
      <x:c r="K114" s="22" t="str"/>
    </x:row>
    <x:row r="115" ht="61" customHeight="1">
      <x:c r="A115" s="14" t="str">
        <x:v>EVPN-002</x:v>
      </x:c>
      <x:c r="B115" s="14" t="str">
        <x:v>Every multihoming and border interoperability profile SHALL be tested for split-brain, link/peer failure, MTU, route withdrawal and stateful-path behavior; vendor-specific MLAG interoperability SHALL NOT be assumed.</x:v>
      </x:c>
      <x:c r="C115" s="14" t="str">
        <x:v>Network engineering</x:v>
      </x:c>
      <x:c r="D115" s="14" t="str">
        <x:v>RA §5</x:v>
      </x:c>
      <x:c r="E115" s="14" t="str">
        <x:v>S21; S22</x:v>
      </x:c>
      <x:c r="F115" s="14" t="str">
        <x:v>CT-024; CT-032; CT-034</x:v>
      </x:c>
      <x:c r="G115" s="22" t="str">
        <x:v>Unresolved</x:v>
      </x:c>
      <x:c r="H115" s="22" t="str"/>
      <x:c r="I115" s="22" t="str"/>
      <x:c r="J115" s="22" t="str"/>
      <x:c r="K115" s="22" t="str"/>
    </x:row>
    <x:row r="116" ht="38" customHeight="1">
      <x:c r="A116" s="14" t="str">
        <x:v>PORT-001</x:v>
      </x:c>
      <x:c r="B116" s="14" t="str">
        <x:v>Every platform SHALL publish a machine-readable capability profile and a tested implementation profile.</x:v>
      </x:c>
      <x:c r="C116" s="14" t="str">
        <x:v>Platform engineering</x:v>
      </x:c>
      <x:c r="D116" s="14" t="str">
        <x:v>RA §15; RA §28</x:v>
      </x:c>
      <x:c r="E116" s="14" t="str">
        <x:v>S00</x:v>
      </x:c>
      <x:c r="F116" s="14" t="str">
        <x:v>CT-015; CT-018; CT-080</x:v>
      </x:c>
      <x:c r="G116" s="22" t="str">
        <x:v>Unresolved</x:v>
      </x:c>
      <x:c r="H116" s="22" t="str"/>
      <x:c r="I116" s="22" t="str"/>
      <x:c r="J116" s="22" t="str"/>
      <x:c r="K116" s="22" t="str"/>
    </x:row>
    <x:row r="117" ht="38" customHeight="1">
      <x:c r="A117" s="14" t="str">
        <x:v>PORT-002</x:v>
      </x:c>
      <x:c r="B117" s="14" t="str">
        <x:v>A placement decision SHALL fail rather than silently reduce a requested security or availability capability.</x:v>
      </x:c>
      <x:c r="C117" s="14" t="str">
        <x:v>Automation platform</x:v>
      </x:c>
      <x:c r="D117" s="14" t="str">
        <x:v>RA §15; RA §28</x:v>
      </x:c>
      <x:c r="E117" s="14" t="str">
        <x:v>S00</x:v>
      </x:c>
      <x:c r="F117" s="14" t="str">
        <x:v>CT-018; CT-061</x:v>
      </x:c>
      <x:c r="G117" s="22" t="str">
        <x:v>Unresolved</x:v>
      </x:c>
      <x:c r="H117" s="22" t="str"/>
      <x:c r="I117" s="22" t="str"/>
      <x:c r="J117" s="22" t="str"/>
      <x:c r="K117" s="22" t="str"/>
    </x:row>
    <x:row r="118" ht="48" customHeight="1">
      <x:c r="A118" s="14" t="str">
        <x:v>PORT-003</x:v>
      </x:c>
      <x:c r="B118" s="14" t="str">
        <x:v>Platform-specific features MAY be exposed as optional extensions provided the WSD declares the dependency and portability impact.</x:v>
      </x:c>
      <x:c r="C118" s="14" t="str">
        <x:v>Architecture authority</x:v>
      </x:c>
      <x:c r="D118" s="14" t="str">
        <x:v>RA §15; RA §28</x:v>
      </x:c>
      <x:c r="E118" s="14" t="str">
        <x:v>S00</x:v>
      </x:c>
      <x:c r="F118" s="14" t="str">
        <x:v>CT-016; CT-060; CT-073</x:v>
      </x:c>
      <x:c r="G118" s="22" t="str">
        <x:v>Unresolved</x:v>
      </x:c>
      <x:c r="H118" s="22" t="str"/>
      <x:c r="I118" s="22" t="str"/>
      <x:c r="J118" s="22" t="str"/>
      <x:c r="K118" s="22" t="str"/>
    </x:row>
    <x:row r="119" ht="74" customHeight="1">
      <x:c r="A119" s="14" t="str">
        <x:v>QUAL-001</x:v>
      </x:c>
      <x:c r="B119" s="14" t="str">
        <x:v>Production placement SHALL require a current qualified PlatformProfile containing the exact product/API/provider/hardware tuple, applicable features/licenses, tested limits, evidence and approval; a candidate or documentation snapshot SHALL be ineligible.</x:v>
      </x:c>
      <x:c r="C119" s="14" t="str">
        <x:v>Security authority</x:v>
      </x:c>
      <x:c r="D119" s="14" t="str">
        <x:v>RA §15; RA §28</x:v>
      </x:c>
      <x:c r="E119" s="14" t="str">
        <x:v>S00</x:v>
      </x:c>
      <x:c r="F119" s="14" t="str">
        <x:v>CT-015; CT-018; CT-069</x:v>
      </x:c>
      <x:c r="G119" s="22" t="str">
        <x:v>Unresolved</x:v>
      </x:c>
      <x:c r="H119" s="22" t="str"/>
      <x:c r="I119" s="22" t="str"/>
      <x:c r="J119" s="22" t="str"/>
      <x:c r="K119" s="22" t="str"/>
    </x:row>
    <x:row r="120" ht="61" customHeight="1">
      <x:c r="A120" s="14" t="str">
        <x:v>NUT-001</x:v>
      </x:c>
      <x:c r="B120" s="14" t="str">
        <x:v>New Nutanix automation SHOULD use current supported v2/v4-backed provider resources where those resources satisfy the requirement; legacy resources require an explicit compatibility rationale.</x:v>
      </x:c>
      <x:c r="C120" s="14" t="str">
        <x:v>Platform engineering</x:v>
      </x:c>
      <x:c r="D120" s="14" t="str">
        <x:v>RA §16</x:v>
      </x:c>
      <x:c r="E120" s="14" t="str">
        <x:v>S00; S17</x:v>
      </x:c>
      <x:c r="F120" s="14" t="str">
        <x:v>CT-015; CT-018</x:v>
      </x:c>
      <x:c r="G120" s="22" t="str">
        <x:v>Unresolved</x:v>
      </x:c>
      <x:c r="H120" s="22" t="str"/>
      <x:c r="I120" s="22" t="str"/>
      <x:c r="J120" s="22" t="str"/>
      <x:c r="K120" s="22" t="str"/>
    </x:row>
    <x:row r="121" ht="38" customHeight="1">
      <x:c r="A121" s="14" t="str">
        <x:v>NUT-002</x:v>
      </x:c>
      <x:c r="B121" s="14" t="str">
        <x:v>Nutanix VPC internal routing SHALL NOT be used to bypass a required inter-zone ZIP.</x:v>
      </x:c>
      <x:c r="C121" s="14" t="str">
        <x:v>Platform engineering</x:v>
      </x:c>
      <x:c r="D121" s="14" t="str">
        <x:v>RA §16</x:v>
      </x:c>
      <x:c r="E121" s="14" t="str">
        <x:v>S00</x:v>
      </x:c>
      <x:c r="F121" s="14" t="str">
        <x:v>CT-003; CT-023; CT-024</x:v>
      </x:c>
      <x:c r="G121" s="22" t="str">
        <x:v>Unresolved</x:v>
      </x:c>
      <x:c r="H121" s="22" t="str"/>
      <x:c r="I121" s="22" t="str"/>
      <x:c r="J121" s="22" t="str"/>
      <x:c r="K121" s="22" t="str"/>
    </x:row>
    <x:row r="122" ht="38" customHeight="1">
      <x:c r="A122" s="14" t="str">
        <x:v>NUT-003</x:v>
      </x:c>
      <x:c r="B122" s="14" t="str">
        <x:v>Provider-managed categories/metadata used for security SHALL be protected from tenant modification.</x:v>
      </x:c>
      <x:c r="C122" s="14" t="str">
        <x:v>Platform engineering</x:v>
      </x:c>
      <x:c r="D122" s="14" t="str">
        <x:v>RA §16</x:v>
      </x:c>
      <x:c r="E122" s="14" t="str">
        <x:v>S00</x:v>
      </x:c>
      <x:c r="F122" s="14" t="str">
        <x:v>CT-020; CT-066</x:v>
      </x:c>
      <x:c r="G122" s="22" t="str">
        <x:v>Unresolved</x:v>
      </x:c>
      <x:c r="H122" s="22" t="str"/>
      <x:c r="I122" s="22" t="str"/>
      <x:c r="J122" s="22" t="str"/>
      <x:c r="K122" s="22" t="str"/>
    </x:row>
    <x:row r="123" ht="74" customHeight="1">
      <x:c r="A123" s="14" t="str">
        <x:v>NUT-004</x:v>
      </x:c>
      <x:c r="B123" s="14" t="str">
        <x:v>The Nutanix profile SHALL qualify the actual AOS/Prism/Flow/provider tuple and external-attachment behavior; unresolved licensing, routing, policy precedence or asynchronous realization limitations SHALL block the affected capability.</x:v>
      </x:c>
      <x:c r="C123" s="14" t="str">
        <x:v>Platform engineering</x:v>
      </x:c>
      <x:c r="D123" s="14" t="str">
        <x:v>RA §16</x:v>
      </x:c>
      <x:c r="E123" s="14" t="str">
        <x:v>S17</x:v>
      </x:c>
      <x:c r="F123" s="14" t="str">
        <x:v>CT-015; CT-023; CT-045; CT-080</x:v>
      </x:c>
      <x:c r="G123" s="22" t="str">
        <x:v>Unresolved</x:v>
      </x:c>
      <x:c r="H123" s="22" t="str"/>
      <x:c r="I123" s="22" t="str"/>
      <x:c r="J123" s="22" t="str"/>
      <x:c r="K123" s="22" t="str"/>
    </x:row>
    <x:row r="124" ht="48" customHeight="1">
      <x:c r="A124" s="14" t="str">
        <x:v>NSX-001</x:v>
      </x:c>
      <x:c r="B124" s="14" t="str">
        <x:v>An NSX implementation SHALL keep tenant/project policy distinct from provider/global management and security policy.</x:v>
      </x:c>
      <x:c r="C124" s="14" t="str">
        <x:v>Platform engineering</x:v>
      </x:c>
      <x:c r="D124" s="14" t="str">
        <x:v>RA §17</x:v>
      </x:c>
      <x:c r="E124" s="14" t="str">
        <x:v>S00</x:v>
      </x:c>
      <x:c r="F124" s="14" t="str">
        <x:v>CT-019; CT-020; CT-066</x:v>
      </x:c>
      <x:c r="G124" s="22" t="str">
        <x:v>Unresolved</x:v>
      </x:c>
      <x:c r="H124" s="22" t="str"/>
      <x:c r="I124" s="22" t="str"/>
      <x:c r="J124" s="22" t="str"/>
      <x:c r="K124" s="22" t="str"/>
    </x:row>
    <x:row r="125" ht="48" customHeight="1">
      <x:c r="A125" s="14" t="str">
        <x:v>NSX-002</x:v>
      </x:c>
      <x:c r="B125" s="14" t="str">
        <x:v>Gateway policy used for zone transitions SHALL be generated from portable Flow/ZIP intent rather than manually duplicated per workload.</x:v>
      </x:c>
      <x:c r="C125" s="14" t="str">
        <x:v>Platform engineering</x:v>
      </x:c>
      <x:c r="D125" s="14" t="str">
        <x:v>RA §17</x:v>
      </x:c>
      <x:c r="E125" s="14" t="str">
        <x:v>S00</x:v>
      </x:c>
      <x:c r="F125" s="14" t="str">
        <x:v>CT-003; CT-007; CT-009</x:v>
      </x:c>
      <x:c r="G125" s="22" t="str">
        <x:v>Unresolved</x:v>
      </x:c>
      <x:c r="H125" s="22" t="str"/>
      <x:c r="I125" s="22" t="str"/>
      <x:c r="J125" s="22" t="str"/>
      <x:c r="K125" s="22" t="str"/>
    </x:row>
    <x:row r="126" ht="74" customHeight="1">
      <x:c r="A126" s="14" t="str">
        <x:v>NSX-003</x:v>
      </x:c>
      <x:c r="B126" s="14" t="str">
        <x:v>The NSX profile SHALL identify actual routing and enforcement components, global/project authority and policy precedence, and SHALL qualify their behavior on the selected product/provider tuple rather than equating a Tier-1 or project with a ZIP.</x:v>
      </x:c>
      <x:c r="C126" s="14" t="str">
        <x:v>Platform engineering</x:v>
      </x:c>
      <x:c r="D126" s="14" t="str">
        <x:v>RA §17</x:v>
      </x:c>
      <x:c r="E126" s="14" t="str">
        <x:v>S18</x:v>
      </x:c>
      <x:c r="F126" s="14" t="str">
        <x:v>CT-003; CT-015; CT-024; CT-080</x:v>
      </x:c>
      <x:c r="G126" s="22" t="str">
        <x:v>Unresolved</x:v>
      </x:c>
      <x:c r="H126" s="22" t="str"/>
      <x:c r="I126" s="22" t="str"/>
      <x:c r="J126" s="22" t="str"/>
      <x:c r="K126" s="22" t="str"/>
    </x:row>
    <x:row r="127" ht="48" customHeight="1">
      <x:c r="A127" s="14" t="str">
        <x:v>OS-001</x:v>
      </x:c>
      <x:c r="B127" s="14" t="str">
        <x:v>Default OpenStack security-group behaviour SHALL be reviewed and normalized to the secure-by-default service baseline.</x:v>
      </x:c>
      <x:c r="C127" s="14" t="str">
        <x:v>Platform engineering</x:v>
      </x:c>
      <x:c r="D127" s="14" t="str">
        <x:v>RA §18</x:v>
      </x:c>
      <x:c r="E127" s="14" t="str">
        <x:v>S00</x:v>
      </x:c>
      <x:c r="F127" s="14" t="str">
        <x:v>CT-005; CT-021; CT-066</x:v>
      </x:c>
      <x:c r="G127" s="22" t="str">
        <x:v>Unresolved</x:v>
      </x:c>
      <x:c r="H127" s="22" t="str"/>
      <x:c r="I127" s="22" t="str"/>
      <x:c r="J127" s="22" t="str"/>
      <x:c r="K127" s="22" t="str"/>
    </x:row>
    <x:row r="128" ht="48" customHeight="1">
      <x:c r="A128" s="14" t="str">
        <x:v>OS-002</x:v>
      </x:c>
      <x:c r="B128" s="14" t="str">
        <x:v>Provider networks and external-router capabilities SHALL remain provider controlled and SHALL not become unrestricted tenant escape paths.</x:v>
      </x:c>
      <x:c r="C128" s="14" t="str">
        <x:v>Platform engineering</x:v>
      </x:c>
      <x:c r="D128" s="14" t="str">
        <x:v>RA §18</x:v>
      </x:c>
      <x:c r="E128" s="14" t="str">
        <x:v>S00</x:v>
      </x:c>
      <x:c r="F128" s="14" t="str">
        <x:v>CT-019; CT-022; CT-023</x:v>
      </x:c>
      <x:c r="G128" s="22" t="str">
        <x:v>Unresolved</x:v>
      </x:c>
      <x:c r="H128" s="22" t="str"/>
      <x:c r="I128" s="22" t="str"/>
      <x:c r="J128" s="22" t="str"/>
      <x:c r="K128" s="22" t="str"/>
    </x:row>
    <x:row r="129" ht="74" customHeight="1">
      <x:c r="A129" s="14" t="str">
        <x:v>OS-003</x:v>
      </x:c>
      <x:c r="B129" s="14" t="str">
        <x:v>The OpenStack profile SHALL record distribution, service/API versions, Neutron backend/extensions and provider authority over external/port-security operations; native routing or editable security groups SHALL NOT be assumed to satisfy all ZIP functions.</x:v>
      </x:c>
      <x:c r="C129" s="14" t="str">
        <x:v>Platform engineering</x:v>
      </x:c>
      <x:c r="D129" s="14" t="str">
        <x:v>RA §18</x:v>
      </x:c>
      <x:c r="E129" s="14" t="str">
        <x:v>S19</x:v>
      </x:c>
      <x:c r="F129" s="14" t="str">
        <x:v>CT-015; CT-018; CT-022; CT-080</x:v>
      </x:c>
      <x:c r="G129" s="22" t="str">
        <x:v>Unresolved</x:v>
      </x:c>
      <x:c r="H129" s="22" t="str"/>
      <x:c r="I129" s="22" t="str"/>
      <x:c r="J129" s="22" t="str"/>
      <x:c r="K129" s="22" t="str"/>
    </x:row>
    <x:row r="130" ht="38" customHeight="1">
      <x:c r="A130" s="14" t="str">
        <x:v>FUT-001</x:v>
      </x:c>
      <x:c r="B130" s="14" t="str">
        <x:v>A new platform SHALL pass the applicable conformance suite before it is approved for production placement.</x:v>
      </x:c>
      <x:c r="C130" s="14" t="str">
        <x:v>Platform engineering</x:v>
      </x:c>
      <x:c r="D130" s="14" t="str">
        <x:v>RA §19</x:v>
      </x:c>
      <x:c r="E130" s="14" t="str">
        <x:v>S00</x:v>
      </x:c>
      <x:c r="F130" s="14" t="str">
        <x:v>CT-015; CT-018; CT-065; CT-080</x:v>
      </x:c>
      <x:c r="G130" s="22" t="str">
        <x:v>Unresolved</x:v>
      </x:c>
      <x:c r="H130" s="22" t="str"/>
      <x:c r="I130" s="22" t="str"/>
      <x:c r="J130" s="22" t="str"/>
      <x:c r="K130" s="22" t="str"/>
    </x:row>
    <x:row r="131" ht="48" customHeight="1">
      <x:c r="A131" s="14" t="str">
        <x:v>FUT-002</x:v>
      </x:c>
      <x:c r="B131" s="14" t="str">
        <x:v>A platform SHALL declare unsupported capabilities explicitly; unsupported capabilities SHALL NOT be emulated by weakening a mandatory control.</x:v>
      </x:c>
      <x:c r="C131" s="14" t="str">
        <x:v>Platform engineering</x:v>
      </x:c>
      <x:c r="D131" s="14" t="str">
        <x:v>RA §19</x:v>
      </x:c>
      <x:c r="E131" s="14" t="str">
        <x:v>S00</x:v>
      </x:c>
      <x:c r="F131" s="14" t="str">
        <x:v>CT-018; CT-065</x:v>
      </x:c>
      <x:c r="G131" s="22" t="str">
        <x:v>Unresolved</x:v>
      </x:c>
      <x:c r="H131" s="22" t="str"/>
      <x:c r="I131" s="22" t="str"/>
      <x:c r="J131" s="22" t="str"/>
      <x:c r="K131" s="22" t="str"/>
    </x:row>
    <x:row r="132" ht="74" customHeight="1">
      <x:c r="A132" s="14" t="str">
        <x:v>FUT-003</x:v>
      </x:c>
      <x:c r="B132" s="14" t="str">
        <x:v>Bare-metal and container profiles SHALL explicitly qualify host/control-plane, network, storage and lifecycle isolation; namespaces, projects and physical VRFs SHALL NOT alone be accepted as evidence of a complete security boundary.</x:v>
      </x:c>
      <x:c r="C132" s="14" t="str">
        <x:v>Platform engineering</x:v>
      </x:c>
      <x:c r="D132" s="14" t="str">
        <x:v>RA §19</x:v>
      </x:c>
      <x:c r="E132" s="14" t="str">
        <x:v>S25; S26</x:v>
      </x:c>
      <x:c r="F132" s="14" t="str">
        <x:v>CT-035; CT-037; CT-059; CT-065; CT-072</x:v>
      </x:c>
      <x:c r="G132" s="22" t="str">
        <x:v>Unresolved</x:v>
      </x:c>
      <x:c r="H132" s="22" t="str"/>
      <x:c r="I132" s="22" t="str"/>
      <x:c r="J132" s="22" t="str"/>
      <x:c r="K132" s="22" t="str"/>
    </x:row>
    <x:row r="133" ht="38" customHeight="1">
      <x:c r="A133" s="14" t="str">
        <x:v>API-001</x:v>
      </x:c>
      <x:c r="B133" s="14" t="str">
        <x:v>The portable API SHALL be versioned and backward-compatibility rules SHALL be published.</x:v>
      </x:c>
      <x:c r="C133" s="14" t="str">
        <x:v>Automation platform</x:v>
      </x:c>
      <x:c r="D133" s="14" t="str">
        <x:v>RA §23; RA §24</x:v>
      </x:c>
      <x:c r="E133" s="14" t="str">
        <x:v>S00</x:v>
      </x:c>
      <x:c r="F133" s="14" t="str">
        <x:v>CT-016; CT-070</x:v>
      </x:c>
      <x:c r="G133" s="22" t="str">
        <x:v>Unresolved</x:v>
      </x:c>
      <x:c r="H133" s="22" t="str"/>
      <x:c r="I133" s="22" t="str"/>
      <x:c r="J133" s="22" t="str"/>
      <x:c r="K133" s="22" t="str"/>
    </x:row>
    <x:row r="134" ht="48" customHeight="1">
      <x:c r="A134" s="14" t="str">
        <x:v>API-002</x:v>
      </x:c>
      <x:c r="B134" s="14" t="str">
        <x:v>Vendor identifiers, VLAN/VNI/VRF details, route targets, raw firewall rules and raw next-hop routes SHALL NOT be part of the normal consumer contract.</x:v>
      </x:c>
      <x:c r="C134" s="14" t="str">
        <x:v>Automation platform</x:v>
      </x:c>
      <x:c r="D134" s="14" t="str">
        <x:v>RA §23; RA §24</x:v>
      </x:c>
      <x:c r="E134" s="14" t="str">
        <x:v>S00</x:v>
      </x:c>
      <x:c r="F134" s="14" t="str">
        <x:v>CT-017; CT-019</x:v>
      </x:c>
      <x:c r="G134" s="22" t="str">
        <x:v>Unresolved</x:v>
      </x:c>
      <x:c r="H134" s="22" t="str"/>
      <x:c r="I134" s="22" t="str"/>
      <x:c r="J134" s="22" t="str"/>
      <x:c r="K134" s="22" t="str"/>
    </x:row>
    <x:row r="135" ht="100" customHeight="1">
      <x:c r="A135" s="14" t="str">
        <x:v>API-003</x:v>
      </x:c>
      <x:c r="B135" s="14" t="str">
        <x:v>Where a consumer-facing provisioning API is provided, it SHALL enforce immutable IDs, idempotent create, optimistic concurrency, typed/closed schemas, authorized references and authoritative service-owned status; stale or unauthorized updates SHALL fail before side effects. These controls MAY be implemented by an existing qualified service interface.</x:v>
      </x:c>
      <x:c r="C135" s="14" t="str">
        <x:v>Automation platform</x:v>
      </x:c>
      <x:c r="D135" s="14" t="str">
        <x:v>RA §23; RA §24</x:v>
      </x:c>
      <x:c r="E135" s="14" t="str">
        <x:v>S00</x:v>
      </x:c>
      <x:c r="F135" s="14" t="str">
        <x:v>CT-017; CT-046; CT-070</x:v>
      </x:c>
      <x:c r="G135" s="22" t="str">
        <x:v>Unresolved</x:v>
      </x:c>
      <x:c r="H135" s="22" t="str"/>
      <x:c r="I135" s="22" t="str"/>
      <x:c r="J135" s="22" t="str"/>
      <x:c r="K135" s="22" t="str"/>
    </x:row>
    <x:row r="136" ht="38" customHeight="1">
      <x:c r="A136" s="14" t="str">
        <x:v>POL-001</x:v>
      </x:c>
      <x:c r="B136" s="14" t="str">
        <x:v>Admission policy SHALL be provider independent wherever the rule expresses an architectural invariant.</x:v>
      </x:c>
      <x:c r="C136" s="14" t="str">
        <x:v>Automation platform</x:v>
      </x:c>
      <x:c r="D136" s="14" t="str">
        <x:v>RA §20; RA §23</x:v>
      </x:c>
      <x:c r="E136" s="14" t="str">
        <x:v>S00</x:v>
      </x:c>
      <x:c r="F136" s="14" t="str">
        <x:v>CT-017; CT-025; CT-066</x:v>
      </x:c>
      <x:c r="G136" s="22" t="str">
        <x:v>Unresolved</x:v>
      </x:c>
      <x:c r="H136" s="22" t="str"/>
      <x:c r="I136" s="22" t="str"/>
      <x:c r="J136" s="22" t="str"/>
      <x:c r="K136" s="22" t="str"/>
    </x:row>
    <x:row r="137" ht="48" customHeight="1">
      <x:c r="A137" s="14" t="str">
        <x:v>POL-002</x:v>
      </x:c>
      <x:c r="B137" s="14" t="str">
        <x:v>Provider-specific plan checks SHOULD validate that the adapter compiled the intent into the expected native constructs.</x:v>
      </x:c>
      <x:c r="C137" s="14" t="str">
        <x:v>Automation platform</x:v>
      </x:c>
      <x:c r="D137" s="14" t="str">
        <x:v>RA §20; RA §23</x:v>
      </x:c>
      <x:c r="E137" s="14" t="str">
        <x:v>S00</x:v>
      </x:c>
      <x:c r="F137" s="14" t="str">
        <x:v>CT-009; CT-048; CT-066</x:v>
      </x:c>
      <x:c r="G137" s="22" t="str">
        <x:v>Unresolved</x:v>
      </x:c>
      <x:c r="H137" s="22" t="str"/>
      <x:c r="I137" s="22" t="str"/>
      <x:c r="J137" s="22" t="str"/>
      <x:c r="K137" s="22" t="str"/>
    </x:row>
    <x:row r="138" ht="74" customHeight="1">
      <x:c r="A138" s="14" t="str">
        <x:v>FLOW-001</x:v>
      </x:c>
      <x:c r="B138" s="14" t="str">
        <x:v>Flow Intentions SHALL resolve explicit identities, service/profile version, initiation direction, lifetime, purpose and logging; compilation SHALL preserve mandatory policy precedence and enforce approved session-revocation behavior.</x:v>
      </x:c>
      <x:c r="C138" s="14" t="str">
        <x:v>Security-edge operations</x:v>
      </x:c>
      <x:c r="D138" s="14" t="str">
        <x:v>RA §20; RA §23</x:v>
      </x:c>
      <x:c r="E138" s="14" t="str">
        <x:v>S00</x:v>
      </x:c>
      <x:c r="F138" s="14" t="str">
        <x:v>CT-007; CT-020; CT-066; CT-077</x:v>
      </x:c>
      <x:c r="G138" s="22" t="str">
        <x:v>Unresolved</x:v>
      </x:c>
      <x:c r="H138" s="22" t="str"/>
      <x:c r="I138" s="22" t="str"/>
      <x:c r="J138" s="22" t="str"/>
      <x:c r="K138" s="22" t="str"/>
    </x:row>
    <x:row r="139" ht="48" customHeight="1">
      <x:c r="A139" s="14" t="str">
        <x:v>AUTO-001</x:v>
      </x:c>
      <x:c r="B139" s="14" t="str">
        <x:v>If security admission, IPAM, route authority, or mandatory policy validation is unavailable, new provisioning SHALL stop rather than inventing or bypassing required state.</x:v>
      </x:c>
      <x:c r="C139" s="14" t="str">
        <x:v>Automation platform</x:v>
      </x:c>
      <x:c r="D139" s="14" t="str">
        <x:v>RA §23; RA §24</x:v>
      </x:c>
      <x:c r="E139" s="14" t="str">
        <x:v>S00</x:v>
      </x:c>
      <x:c r="F139" s="14" t="str">
        <x:v>CT-011; CT-029; CT-045</x:v>
      </x:c>
      <x:c r="G139" s="22" t="str">
        <x:v>Unresolved</x:v>
      </x:c>
      <x:c r="H139" s="22" t="str"/>
      <x:c r="I139" s="22" t="str"/>
      <x:c r="J139" s="22" t="str"/>
      <x:c r="K139" s="22" t="str"/>
    </x:row>
    <x:row r="140" ht="61" customHeight="1">
      <x:c r="A140" s="14" t="str">
        <x:v>AUTO-002</x:v>
      </x:c>
      <x:c r="B140" s="14" t="str">
        <x:v>Provisioning SHALL be journaled and idempotent, reserve only eligible capacity/addresses, enforce deny before attachment/exposure, and gate activation on realized current-generation evidence and authorization.</x:v>
      </x:c>
      <x:c r="C140" s="14" t="str">
        <x:v>Automation platform</x:v>
      </x:c>
      <x:c r="D140" s="14" t="str">
        <x:v>RA §23; RA §24</x:v>
      </x:c>
      <x:c r="E140" s="14" t="str">
        <x:v>S00</x:v>
      </x:c>
      <x:c r="F140" s="14" t="str">
        <x:v>CT-045; CT-046; CT-048; CT-069</x:v>
      </x:c>
      <x:c r="G140" s="22" t="str">
        <x:v>Unresolved</x:v>
      </x:c>
      <x:c r="H140" s="22" t="str"/>
      <x:c r="I140" s="22" t="str"/>
      <x:c r="J140" s="22" t="str"/>
      <x:c r="K140" s="22" t="str"/>
    </x:row>
    <x:row r="141" ht="61" customHeight="1">
      <x:c r="A141" s="14" t="str">
        <x:v>AUTO-003</x:v>
      </x:c>
      <x:c r="B141" s="14" t="str">
        <x:v>Retries SHALL distinguish transient, permanent and conflict failures, use bounded backoff/deadlines and preserve resource identity; uncertain outcomes SHALL be discovered and reconciled rather than duplicated.</x:v>
      </x:c>
      <x:c r="C141" s="14" t="str">
        <x:v>Automation platform</x:v>
      </x:c>
      <x:c r="D141" s="14" t="str">
        <x:v>RA §23; RA §24</x:v>
      </x:c>
      <x:c r="E141" s="14" t="str">
        <x:v>S00</x:v>
      </x:c>
      <x:c r="F141" s="14" t="str">
        <x:v>CT-045; CT-046; CT-047</x:v>
      </x:c>
      <x:c r="G141" s="22" t="str">
        <x:v>Unresolved</x:v>
      </x:c>
      <x:c r="H141" s="22" t="str"/>
      <x:c r="I141" s="22" t="str"/>
      <x:c r="J141" s="22" t="str"/>
      <x:c r="K141" s="22" t="str"/>
    </x:row>
    <x:row r="142" ht="48" customHeight="1">
      <x:c r="A142" s="14" t="str">
        <x:v>TF-001</x:v>
      </x:c>
      <x:c r="B142" s="14" t="str">
        <x:v>Provider configuration SHALL be defined in root modules and passed to child modules; reusable child modules SHOULD NOT embed provider credentials/configuration.</x:v>
      </x:c>
      <x:c r="C142" s="14" t="str">
        <x:v>Automation platform</x:v>
      </x:c>
      <x:c r="D142" s="14" t="str">
        <x:v>RA §24</x:v>
      </x:c>
      <x:c r="E142" s="14" t="str">
        <x:v>S00; S13</x:v>
      </x:c>
      <x:c r="F142" s="14" t="str">
        <x:v>CT-042; CT-043</x:v>
      </x:c>
      <x:c r="G142" s="22" t="str">
        <x:v>Unresolved</x:v>
      </x:c>
      <x:c r="H142" s="22" t="str"/>
      <x:c r="I142" s="22" t="str"/>
      <x:c r="J142" s="22" t="str"/>
      <x:c r="K142" s="22" t="str"/>
    </x:row>
    <x:row r="143" ht="38" customHeight="1">
      <x:c r="A143" s="14" t="str">
        <x:v>TF-002</x:v>
      </x:c>
      <x:c r="B143" s="14" t="str">
        <x:v>Provider versions SHALL be constrained and dependency lock files SHALL be committed and reviewed.</x:v>
      </x:c>
      <x:c r="C143" s="14" t="str">
        <x:v>Automation platform</x:v>
      </x:c>
      <x:c r="D143" s="14" t="str">
        <x:v>RA §24</x:v>
      </x:c>
      <x:c r="E143" s="14" t="str">
        <x:v>S00; S14</x:v>
      </x:c>
      <x:c r="F143" s="14" t="str">
        <x:v>CT-015; CT-042; CT-048</x:v>
      </x:c>
      <x:c r="G143" s="22" t="str">
        <x:v>Unresolved</x:v>
      </x:c>
      <x:c r="H143" s="22" t="str"/>
      <x:c r="I143" s="22" t="str"/>
      <x:c r="J143" s="22" t="str"/>
      <x:c r="K143" s="22" t="str"/>
    </x:row>
    <x:row r="144" ht="74" customHeight="1">
      <x:c r="A144" s="14" t="str">
        <x:v>TF-003</x:v>
      </x:c>
      <x:c r="B144" s="14" t="str">
        <x:v>The provisioning workflow SHALL select the required hosting-platform and shared-service adapters before execution; adapters SHALL preserve their authority and lifecycle boundaries. A single giant conditional module SHOULD NOT attempt to implement all platforms.</x:v>
      </x:c>
      <x:c r="C144" s="14" t="str">
        <x:v>Automation platform</x:v>
      </x:c>
      <x:c r="D144" s="14" t="str">
        <x:v>RA §24</x:v>
      </x:c>
      <x:c r="E144" s="14" t="str">
        <x:v>S00</x:v>
      </x:c>
      <x:c r="F144" s="14" t="str">
        <x:v>CT-016; CT-044</x:v>
      </x:c>
      <x:c r="G144" s="22" t="str">
        <x:v>Unresolved</x:v>
      </x:c>
      <x:c r="H144" s="22" t="str"/>
      <x:c r="I144" s="22" t="str"/>
      <x:c r="J144" s="22" t="str"/>
      <x:c r="K144" s="22" t="str"/>
    </x:row>
    <x:row r="145" ht="48" customHeight="1">
      <x:c r="A145" s="14" t="str">
        <x:v>TF-004</x:v>
      </x:c>
      <x:c r="B145" s="14" t="str">
        <x:v>Module interfaces SHOULD be relatively flat and composable; deeply nested modules that obscure lifecycle or ownership boundaries SHOULD be avoided.</x:v>
      </x:c>
      <x:c r="C145" s="14" t="str">
        <x:v>Automation platform</x:v>
      </x:c>
      <x:c r="D145" s="14" t="str">
        <x:v>RA §24</x:v>
      </x:c>
      <x:c r="E145" s="14" t="str">
        <x:v>S00</x:v>
      </x:c>
      <x:c r="F145" s="14" t="str">
        <x:v>CT-044; CT-070</x:v>
      </x:c>
      <x:c r="G145" s="22" t="str">
        <x:v>Unresolved</x:v>
      </x:c>
      <x:c r="H145" s="22" t="str"/>
      <x:c r="I145" s="22" t="str"/>
      <x:c r="J145" s="22" t="str"/>
      <x:c r="K145" s="22" t="str"/>
    </x:row>
    <x:row r="146" ht="61" customHeight="1">
      <x:c r="A146" s="14" t="str">
        <x:v>TF-005</x:v>
      </x:c>
      <x:c r="B146" s="14" t="str">
        <x:v>Remote module sources and runner images SHALL be pinned to immutable versions/digests separately from provider lockfiles; approved package checksums and provenance SHALL be verified before privileged execution.</x:v>
      </x:c>
      <x:c r="C146" s="14" t="str">
        <x:v>Automation platform</x:v>
      </x:c>
      <x:c r="D146" s="14" t="str">
        <x:v>RA §24</x:v>
      </x:c>
      <x:c r="E146" s="14" t="str">
        <x:v>S14</x:v>
      </x:c>
      <x:c r="F146" s="14" t="str">
        <x:v>CT-042; CT-048</x:v>
      </x:c>
      <x:c r="G146" s="22" t="str">
        <x:v>Unresolved</x:v>
      </x:c>
      <x:c r="H146" s="22" t="str"/>
      <x:c r="I146" s="22" t="str"/>
      <x:c r="J146" s="22" t="str"/>
      <x:c r="K146" s="22" t="str"/>
    </x:row>
    <x:row r="147" ht="48" customHeight="1">
      <x:c r="A147" s="14" t="str">
        <x:v>STATE-001</x:v>
      </x:c>
      <x:c r="B147" s="14" t="str">
        <x:v>No single routine tenant automation identity SHALL have authority to modify physical fabric, management foundation, security edge, and tenant workloads simultaneously.</x:v>
      </x:c>
      <x:c r="C147" s="14" t="str">
        <x:v>Automation platform</x:v>
      </x:c>
      <x:c r="D147" s="14" t="str">
        <x:v>RA §24</x:v>
      </x:c>
      <x:c r="E147" s="14" t="str">
        <x:v>S00</x:v>
      </x:c>
      <x:c r="F147" s="14" t="str">
        <x:v>CT-019; CT-044</x:v>
      </x:c>
      <x:c r="G147" s="22" t="str">
        <x:v>Unresolved</x:v>
      </x:c>
      <x:c r="H147" s="22" t="str"/>
      <x:c r="I147" s="22" t="str"/>
      <x:c r="J147" s="22" t="str"/>
      <x:c r="K147" s="22" t="str"/>
    </x:row>
    <x:row r="148" ht="61" customHeight="1">
      <x:c r="A148" s="14" t="str">
        <x:v>STATE-002</x:v>
      </x:c>
      <x:c r="B148" s="14" t="str">
        <x:v>Remote state backends SHALL use encryption, strong authentication, locking, recovery/versioning, access logging, and separation appropriate to the sensitivity of contained data.</x:v>
      </x:c>
      <x:c r="C148" s="14" t="str">
        <x:v>Automation platform</x:v>
      </x:c>
      <x:c r="D148" s="14" t="str">
        <x:v>RA §24</x:v>
      </x:c>
      <x:c r="E148" s="14" t="str">
        <x:v>S00</x:v>
      </x:c>
      <x:c r="F148" s="14" t="str">
        <x:v>CT-043; CT-044; CT-055</x:v>
      </x:c>
      <x:c r="G148" s="22" t="str">
        <x:v>Unresolved</x:v>
      </x:c>
      <x:c r="H148" s="22" t="str"/>
      <x:c r="I148" s="22" t="str"/>
      <x:c r="J148" s="22" t="str"/>
      <x:c r="K148" s="22" t="str"/>
    </x:row>
    <x:row r="149" ht="74" customHeight="1">
      <x:c r="A149" s="14" t="str">
        <x:v>STATE-003</x:v>
      </x:c>
      <x:c r="B149" s="14" t="str">
        <x:v>Cross-state/external-service changes SHALL use a journaled dependency workflow with scoped outputs, idempotent stage completion and data-safe compensation; state-file restoration SHALL NOT be represented as infrastructure rollback.</x:v>
      </x:c>
      <x:c r="C149" s="14" t="str">
        <x:v>Automation platform</x:v>
      </x:c>
      <x:c r="D149" s="14" t="str">
        <x:v>RA §24</x:v>
      </x:c>
      <x:c r="E149" s="14" t="str">
        <x:v>S00</x:v>
      </x:c>
      <x:c r="F149" s="14" t="str">
        <x:v>CT-044; CT-045; CT-070</x:v>
      </x:c>
      <x:c r="G149" s="22" t="str">
        <x:v>Unresolved</x:v>
      </x:c>
      <x:c r="H149" s="22" t="str"/>
      <x:c r="I149" s="22" t="str"/>
      <x:c r="J149" s="22" t="str"/>
      <x:c r="K149" s="22" t="str"/>
    </x:row>
    <x:row r="150" ht="61" customHeight="1">
      <x:c r="A150" s="14" t="str">
        <x:v>CICD-001</x:v>
      </x:c>
      <x:c r="B150" s="14" t="str">
        <x:v>A change that modifies inter-zone policy, external exposure, route authority, management access, or assurance profile SHALL receive a higher change classification than an ordinary workload scale operation.</x:v>
      </x:c>
      <x:c r="C150" s="14" t="str">
        <x:v>Change authority</x:v>
      </x:c>
      <x:c r="D150" s="14" t="str">
        <x:v>RA §24</x:v>
      </x:c>
      <x:c r="E150" s="14" t="str">
        <x:v>S00</x:v>
      </x:c>
      <x:c r="F150" s="14" t="str">
        <x:v>CT-048; CT-058</x:v>
      </x:c>
      <x:c r="G150" s="22" t="str">
        <x:v>Unresolved</x:v>
      </x:c>
      <x:c r="H150" s="22" t="str"/>
      <x:c r="I150" s="22" t="str"/>
      <x:c r="J150" s="22" t="str"/>
      <x:c r="K150" s="22" t="str"/>
    </x:row>
    <x:row r="151" ht="48" customHeight="1">
      <x:c r="A151" s="14" t="str">
        <x:v>CICD-002</x:v>
      </x:c>
      <x:c r="B151" s="14" t="str">
        <x:v>An approval SHALL bind the immutable plan and all security-relevant input/policy/state/dependency digests; stale, changed or expired artifacts SHALL be rejected at apply.</x:v>
      </x:c>
      <x:c r="C151" s="14" t="str">
        <x:v>Automation platform</x:v>
      </x:c>
      <x:c r="D151" s="14" t="str">
        <x:v>RA §24</x:v>
      </x:c>
      <x:c r="E151" s="14" t="str">
        <x:v>S00</x:v>
      </x:c>
      <x:c r="F151" s="14" t="str">
        <x:v>CT-042; CT-048</x:v>
      </x:c>
      <x:c r="G151" s="22" t="str">
        <x:v>Unresolved</x:v>
      </x:c>
      <x:c r="H151" s="22" t="str"/>
      <x:c r="I151" s="22" t="str"/>
      <x:c r="J151" s="22" t="str"/>
      <x:c r="K151" s="22" t="str"/>
    </x:row>
    <x:row r="152" ht="61" customHeight="1">
      <x:c r="A152" s="14" t="str">
        <x:v>SUP-001</x:v>
      </x:c>
      <x:c r="B152" s="14" t="str">
        <x:v>Privileged software/provider/module supply chains SHALL use approved sources, integrity verification, revocation and a compromise-response procedure covering already-executed artifacts and credentials.</x:v>
      </x:c>
      <x:c r="C152" s="14" t="str">
        <x:v>Automation platform</x:v>
      </x:c>
      <x:c r="D152" s="14" t="str">
        <x:v>RA §24</x:v>
      </x:c>
      <x:c r="E152" s="14" t="str">
        <x:v>S05; S14</x:v>
      </x:c>
      <x:c r="F152" s="14" t="str">
        <x:v>CT-041; CT-042; CT-057</x:v>
      </x:c>
      <x:c r="G152" s="22" t="str">
        <x:v>Unresolved</x:v>
      </x:c>
      <x:c r="H152" s="22" t="str"/>
      <x:c r="I152" s="22" t="str"/>
      <x:c r="J152" s="22" t="str"/>
      <x:c r="K152" s="22" t="str"/>
    </x:row>
    <x:row r="153" ht="38" customHeight="1">
      <x:c r="A153" s="14" t="str">
        <x:v>SEC-001</x:v>
      </x:c>
      <x:c r="B153" s="14" t="str">
        <x:v>Static privileged provider credentials SHALL NOT be embedded in Terraform source code.</x:v>
      </x:c>
      <x:c r="C153" s="14" t="str">
        <x:v>Automation platform</x:v>
      </x:c>
      <x:c r="D153" s="14" t="str">
        <x:v>RA §13; RA §24</x:v>
      </x:c>
      <x:c r="E153" s="14" t="str">
        <x:v>S00</x:v>
      </x:c>
      <x:c r="F153" s="14" t="str">
        <x:v>CT-043</x:v>
      </x:c>
      <x:c r="G153" s="22" t="str">
        <x:v>Unresolved</x:v>
      </x:c>
      <x:c r="H153" s="22" t="str"/>
      <x:c r="I153" s="22" t="str"/>
      <x:c r="J153" s="22" t="str"/>
      <x:c r="K153" s="22" t="str"/>
    </x:row>
    <x:row r="154" ht="38" customHeight="1">
      <x:c r="A154" s="14" t="str">
        <x:v>SEC-002</x:v>
      </x:c>
      <x:c r="B154" s="14" t="str">
        <x:v>Automation identities SHALL use least privilege and separate duties by control domain.</x:v>
      </x:c>
      <x:c r="C154" s="14" t="str">
        <x:v>Automation platform</x:v>
      </x:c>
      <x:c r="D154" s="14" t="str">
        <x:v>RA §13; RA §24</x:v>
      </x:c>
      <x:c r="E154" s="14" t="str">
        <x:v>S00</x:v>
      </x:c>
      <x:c r="F154" s="14" t="str">
        <x:v>CT-019; CT-044; CT-079</x:v>
      </x:c>
      <x:c r="G154" s="22" t="str">
        <x:v>Unresolved</x:v>
      </x:c>
      <x:c r="H154" s="22" t="str"/>
      <x:c r="I154" s="22" t="str"/>
      <x:c r="J154" s="22" t="str"/>
      <x:c r="K154" s="22" t="str"/>
    </x:row>
    <x:row r="155" ht="48" customHeight="1">
      <x:c r="A155" s="14" t="str">
        <x:v>SEC-003</x:v>
      </x:c>
      <x:c r="B155" s="14" t="str">
        <x:v>Credential rotation, revocation, and break-glass recovery SHALL be tested as part of the platform operational profile.</x:v>
      </x:c>
      <x:c r="C155" s="14" t="str">
        <x:v>Automation platform</x:v>
      </x:c>
      <x:c r="D155" s="14" t="str">
        <x:v>RA §13; RA §24</x:v>
      </x:c>
      <x:c r="E155" s="14" t="str">
        <x:v>S00</x:v>
      </x:c>
      <x:c r="F155" s="14" t="str">
        <x:v>CT-027; CT-028; CT-043</x:v>
      </x:c>
      <x:c r="G155" s="22" t="str">
        <x:v>Unresolved</x:v>
      </x:c>
      <x:c r="H155" s="22" t="str"/>
      <x:c r="I155" s="22" t="str"/>
      <x:c r="J155" s="22" t="str"/>
      <x:c r="K155" s="22" t="str"/>
    </x:row>
    <x:row r="156" ht="74" customHeight="1">
      <x:c r="A156" s="14" t="str">
        <x:v>SEC-004</x:v>
      </x:c>
      <x:c r="B156" s="14" t="str">
        <x:v>Where supported and verified, sensitive values SHOULD use ephemeral/write-only mechanisms; all remaining secret-bearing plan/state/log artifacts SHALL be classified, encrypted, access-controlled and tested for unintended disclosure.</x:v>
      </x:c>
      <x:c r="C156" s="14" t="str">
        <x:v>Automation platform</x:v>
      </x:c>
      <x:c r="D156" s="14" t="str">
        <x:v>RA §13; RA §24</x:v>
      </x:c>
      <x:c r="E156" s="14" t="str">
        <x:v>S15; S16</x:v>
      </x:c>
      <x:c r="F156" s="14" t="str">
        <x:v>CT-043; CT-044</x:v>
      </x:c>
      <x:c r="G156" s="22" t="str">
        <x:v>Unresolved</x:v>
      </x:c>
      <x:c r="H156" s="22" t="str"/>
      <x:c r="I156" s="22" t="str"/>
      <x:c r="J156" s="22" t="str"/>
      <x:c r="K156" s="22" t="str"/>
    </x:row>
    <x:row r="157" ht="61" customHeight="1">
      <x:c r="A157" s="14" t="str">
        <x:v>DRIFT-001</x:v>
      </x:c>
      <x:c r="B157" s="14" t="str">
        <x:v>Security-significant drift SHALL generate an actionable event and update technical conformance/readiness conditions until resolved or accepted; formal authorization records SHALL remain separately attributable and immutable.</x:v>
      </x:c>
      <x:c r="C157" s="14" t="str">
        <x:v>Operations/SRE</x:v>
      </x:c>
      <x:c r="D157" s="14" t="str">
        <x:v>RA §25</x:v>
      </x:c>
      <x:c r="E157" s="14" t="str">
        <x:v>S00; S05</x:v>
      </x:c>
      <x:c r="F157" s="14" t="str">
        <x:v>CT-014; CT-049; CT-057</x:v>
      </x:c>
      <x:c r="G157" s="22" t="str">
        <x:v>Unresolved</x:v>
      </x:c>
      <x:c r="H157" s="22" t="str"/>
      <x:c r="I157" s="22" t="str"/>
      <x:c r="J157" s="22" t="str"/>
      <x:c r="K157" s="22" t="str"/>
    </x:row>
    <x:row r="158" ht="38" customHeight="1">
      <x:c r="A158" s="14" t="str">
        <x:v>DRIFT-002</x:v>
      </x:c>
      <x:c r="B158" s="14" t="str">
        <x:v>Emergency changes SHALL be reconciled back into the source of truth after the incident or maintenance action.</x:v>
      </x:c>
      <x:c r="C158" s="14" t="str">
        <x:v>Operations/SRE</x:v>
      </x:c>
      <x:c r="D158" s="14" t="str">
        <x:v>RA §25</x:v>
      </x:c>
      <x:c r="E158" s="14" t="str">
        <x:v>S00</x:v>
      </x:c>
      <x:c r="F158" s="14" t="str">
        <x:v>CT-014; CT-057</x:v>
      </x:c>
      <x:c r="G158" s="22" t="str">
        <x:v>Unresolved</x:v>
      </x:c>
      <x:c r="H158" s="22" t="str"/>
      <x:c r="I158" s="22" t="str"/>
      <x:c r="J158" s="22" t="str"/>
      <x:c r="K158" s="22" t="str"/>
    </x:row>
    <x:row r="159" ht="61" customHeight="1">
      <x:c r="A159" s="14" t="str">
        <x:v>DRIFT-003</x:v>
      </x:c>
      <x:c r="B159" s="14" t="str">
        <x:v>Incident containment overrides SHALL take precedence over ordinary reconciliation until explicitly released or handled by their approved expiry policy; automated repair SHALL NOT silently undo containment.</x:v>
      </x:c>
      <x:c r="C159" s="14" t="str">
        <x:v>Incident response</x:v>
      </x:c>
      <x:c r="D159" s="14" t="str">
        <x:v>RA §25</x:v>
      </x:c>
      <x:c r="E159" s="14" t="str">
        <x:v>S00</x:v>
      </x:c>
      <x:c r="F159" s="14" t="str">
        <x:v>CT-057; CT-058; CT-066</x:v>
      </x:c>
      <x:c r="G159" s="22" t="str">
        <x:v>Unresolved</x:v>
      </x:c>
      <x:c r="H159" s="22" t="str"/>
      <x:c r="I159" s="22" t="str"/>
      <x:c r="J159" s="22" t="str"/>
      <x:c r="K159" s="22" t="str"/>
    </x:row>
    <x:row r="160" ht="48" customHeight="1">
      <x:c r="A160" s="14" t="str">
        <x:v>ASSUR-001</x:v>
      </x:c>
      <x:c r="B160" s="14" t="str">
        <x:v>Assurance profile selection SHALL be based on system security requirements and risk analysis rather than tenant preference alone.</x:v>
      </x:c>
      <x:c r="C160" s="14" t="str">
        <x:v>Security authority</x:v>
      </x:c>
      <x:c r="D160" s="14" t="str">
        <x:v>RA §7; RA §11; RA §12; RA §14</x:v>
      </x:c>
      <x:c r="E160" s="14" t="str">
        <x:v>S00; S03; S05</x:v>
      </x:c>
      <x:c r="F160" s="14" t="str">
        <x:v>CT-035; CT-062</x:v>
      </x:c>
      <x:c r="G160" s="22" t="str">
        <x:v>Unresolved</x:v>
      </x:c>
      <x:c r="H160" s="22" t="str"/>
      <x:c r="I160" s="22" t="str"/>
      <x:c r="J160" s="22" t="str"/>
      <x:c r="K160" s="22" t="str"/>
    </x:row>
    <x:row r="161" ht="61" customHeight="1">
      <x:c r="A161" s="14" t="str">
        <x:v>ASSUR-002</x:v>
      </x:c>
      <x:c r="B161" s="14" t="str">
        <x:v>Assurance profiles SHALL define explicit isolation for compute, storage, routing, edge, management, backup and keys, with measurable verification and exception rules; “dedicated” SHALL identify its actual resource scope.</x:v>
      </x:c>
      <x:c r="C161" s="14" t="str">
        <x:v>Security authority</x:v>
      </x:c>
      <x:c r="D161" s="14" t="str">
        <x:v>RA §7; RA §11; RA §12; RA §14</x:v>
      </x:c>
      <x:c r="E161" s="14" t="str">
        <x:v>S03; S05</x:v>
      </x:c>
      <x:c r="F161" s="14" t="str">
        <x:v>CT-018; CT-035; CT-037; CT-062</x:v>
      </x:c>
      <x:c r="G161" s="22" t="str">
        <x:v>Unresolved</x:v>
      </x:c>
      <x:c r="H161" s="22" t="str"/>
      <x:c r="I161" s="22" t="str"/>
      <x:c r="J161" s="22" t="str"/>
      <x:c r="K161" s="22" t="str"/>
    </x:row>
    <x:row r="162" ht="61" customHeight="1">
      <x:c r="A162" s="14" t="str">
        <x:v>ASSUR-003</x:v>
      </x:c>
      <x:c r="B162" s="14" t="str">
        <x:v>A production profile SHALL have approved parameter values, owners, applicable test sets and evidence freshness limits; incomplete or expired profiles SHALL be ineligible for new production placement.</x:v>
      </x:c>
      <x:c r="C162" s="14" t="str">
        <x:v>Security authority</x:v>
      </x:c>
      <x:c r="D162" s="14" t="str">
        <x:v>RA §7; RA §11; RA §12; RA §14</x:v>
      </x:c>
      <x:c r="E162" s="14" t="str">
        <x:v>S00</x:v>
      </x:c>
      <x:c r="F162" s="14" t="str">
        <x:v>CT-018; CT-058; CT-069</x:v>
      </x:c>
      <x:c r="G162" s="22" t="str">
        <x:v>Unresolved</x:v>
      </x:c>
      <x:c r="H162" s="22" t="str"/>
      <x:c r="I162" s="22" t="str"/>
      <x:c r="J162" s="22" t="str"/>
      <x:c r="K162" s="22" t="str"/>
    </x:row>
    <x:row r="163" ht="38" customHeight="1">
      <x:c r="A163" s="14" t="str">
        <x:v>TEST-001</x:v>
      </x:c>
      <x:c r="B163" s="14" t="str">
        <x:v>Negative tests SHALL be first-class acceptance criteria; proving that an allowed flow works is insufficient.</x:v>
      </x:c>
      <x:c r="C163" s="14" t="str">
        <x:v>Assurance engineering</x:v>
      </x:c>
      <x:c r="D163" s="14" t="str">
        <x:v>RA §28</x:v>
      </x:c>
      <x:c r="E163" s="14" t="str">
        <x:v>S00</x:v>
      </x:c>
      <x:c r="F163" s="14" t="str">
        <x:v>CT-001; CT-002; CT-003; CT-007</x:v>
      </x:c>
      <x:c r="G163" s="22" t="str">
        <x:v>Unresolved</x:v>
      </x:c>
      <x:c r="H163" s="22" t="str"/>
      <x:c r="I163" s="22" t="str"/>
      <x:c r="J163" s="22" t="str"/>
      <x:c r="K163" s="22" t="str"/>
    </x:row>
    <x:row r="164" ht="38" customHeight="1">
      <x:c r="A164" s="14" t="str">
        <x:v>TEST-002</x:v>
      </x:c>
      <x:c r="B164" s="14" t="str">
        <x:v>A platform upgrade SHALL trigger an appropriate regression/conformance test set before broad production rollout.</x:v>
      </x:c>
      <x:c r="C164" s="14" t="str">
        <x:v>Assurance engineering</x:v>
      </x:c>
      <x:c r="D164" s="14" t="str">
        <x:v>RA §28</x:v>
      </x:c>
      <x:c r="E164" s="14" t="str">
        <x:v>S00</x:v>
      </x:c>
      <x:c r="F164" s="14" t="str">
        <x:v>CT-015; CT-018</x:v>
      </x:c>
      <x:c r="G164" s="22" t="str">
        <x:v>Unresolved</x:v>
      </x:c>
      <x:c r="H164" s="22" t="str"/>
      <x:c r="I164" s="22" t="str"/>
      <x:c r="J164" s="22" t="str"/>
      <x:c r="K164" s="22" t="str"/>
    </x:row>
    <x:row r="165" ht="74" customHeight="1">
      <x:c r="A165" s="14" t="str">
        <x:v>TEST-003</x:v>
      </x:c>
      <x:c r="B165" s="14" t="str">
        <x:v>Every test execution SHALL record target versions, preconditions, healthy control paths, observation, expected outcome and attributable evidence; blocked, not-run or unjustified not-applicable results SHALL NOT satisfy mandatory gates.</x:v>
      </x:c>
      <x:c r="C165" s="14" t="str">
        <x:v>Assurance engineering</x:v>
      </x:c>
      <x:c r="D165" s="14" t="str">
        <x:v>RA §28</x:v>
      </x:c>
      <x:c r="E165" s="14" t="str">
        <x:v>S00</x:v>
      </x:c>
      <x:c r="F165" s="14" t="str">
        <x:v>CT-049; CT-069; CT-075</x:v>
      </x:c>
      <x:c r="G165" s="22" t="str">
        <x:v>Unresolved</x:v>
      </x:c>
      <x:c r="H165" s="22" t="str"/>
      <x:c r="I165" s="22" t="str"/>
      <x:c r="J165" s="22" t="str"/>
      <x:c r="K165" s="22" t="str"/>
    </x:row>
    <x:row r="166" ht="61" customHeight="1">
      <x:c r="A166" s="14" t="str">
        <x:v>TEST-004</x:v>
      </x:c>
      <x:c r="B166" s="14" t="str">
        <x:v>Fault-injection and intrusive negative tests SHALL run only within an approved scope, safety envelope and recovery procedure; production testing SHALL protect unrelated tenants.</x:v>
      </x:c>
      <x:c r="C166" s="14" t="str">
        <x:v>Assurance engineering</x:v>
      </x:c>
      <x:c r="D166" s="14" t="str">
        <x:v>RA §28</x:v>
      </x:c>
      <x:c r="E166" s="14" t="str">
        <x:v>S00</x:v>
      </x:c>
      <x:c r="F166" s="14" t="str">
        <x:v>CT-011; CT-012; CT-034; CT-054</x:v>
      </x:c>
      <x:c r="G166" s="22" t="str">
        <x:v>Unresolved</x:v>
      </x:c>
      <x:c r="H166" s="22" t="str"/>
      <x:c r="I166" s="22" t="str"/>
      <x:c r="J166" s="22" t="str"/>
      <x:c r="K166" s="22" t="str"/>
    </x:row>
    <x:row r="167" ht="48" customHeight="1">
      <x:c r="A167" s="14" t="str">
        <x:v>EVID-001</x:v>
      </x:c>
      <x:c r="B167" s="14" t="str">
        <x:v>The evidence record SHALL identify the source revision, policy version, provider/module versions, realized security relationships, test results, and active exceptions.</x:v>
      </x:c>
      <x:c r="C167" s="14" t="str">
        <x:v>Assurance engineering</x:v>
      </x:c>
      <x:c r="D167" s="14" t="str">
        <x:v>RA §26; RA §28</x:v>
      </x:c>
      <x:c r="E167" s="14" t="str">
        <x:v>S00</x:v>
      </x:c>
      <x:c r="F167" s="14" t="str">
        <x:v>CT-049; CT-069; CT-075</x:v>
      </x:c>
      <x:c r="G167" s="22" t="str">
        <x:v>Unresolved</x:v>
      </x:c>
      <x:c r="H167" s="22" t="str"/>
      <x:c r="I167" s="22" t="str"/>
      <x:c r="J167" s="22" t="str"/>
      <x:c r="K167" s="22" t="str"/>
    </x:row>
    <x:row r="168" ht="61" customHeight="1">
      <x:c r="A168" s="14" t="str">
        <x:v>EVID-002</x:v>
      </x:c>
      <x:c r="B168" s="14" t="str">
        <x:v>Evidence SHALL bind target generation, source/profile/capability/dependency digests, artifact integrity, collection time, test executions and active exceptions; freshness SHALL be evaluated after material changes.</x:v>
      </x:c>
      <x:c r="C168" s="14" t="str">
        <x:v>Assurance engineering</x:v>
      </x:c>
      <x:c r="D168" s="14" t="str">
        <x:v>RA §26; RA §28</x:v>
      </x:c>
      <x:c r="E168" s="14" t="str">
        <x:v>S05; S11</x:v>
      </x:c>
      <x:c r="F168" s="14" t="str">
        <x:v>CT-048; CT-049; CT-069</x:v>
      </x:c>
      <x:c r="G168" s="22" t="str">
        <x:v>Unresolved</x:v>
      </x:c>
      <x:c r="H168" s="22" t="str"/>
      <x:c r="I168" s="22" t="str"/>
      <x:c r="J168" s="22" t="str"/>
      <x:c r="K168" s="22" t="str"/>
    </x:row>
    <x:row r="169" ht="61" customHeight="1">
      <x:c r="A169" s="14" t="str">
        <x:v>EVID-003</x:v>
      </x:c>
      <x:c r="B169" s="14" t="str">
        <x:v>Formal authorization decisions SHALL be issued by the designated authority and retained separately from technical test status, with scope, validity and operating conditions that the controller can evaluate.</x:v>
      </x:c>
      <x:c r="C169" s="14" t="str">
        <x:v>Security authority</x:v>
      </x:c>
      <x:c r="D169" s="14" t="str">
        <x:v>RA §26; RA §28</x:v>
      </x:c>
      <x:c r="E169" s="14" t="str">
        <x:v>S04; S05</x:v>
      </x:c>
      <x:c r="F169" s="14" t="str">
        <x:v>CT-049; CT-058; CT-069</x:v>
      </x:c>
      <x:c r="G169" s="22" t="str">
        <x:v>Unresolved</x:v>
      </x:c>
      <x:c r="H169" s="22" t="str"/>
      <x:c r="I169" s="22" t="str"/>
      <x:c r="J169" s="22" t="str"/>
      <x:c r="K169" s="22" t="str"/>
    </x:row>
    <x:row r="170" ht="48" customHeight="1">
      <x:c r="A170" s="14" t="str">
        <x:v>OBS-001</x:v>
      </x:c>
      <x:c r="B170" s="14" t="str">
        <x:v>Logs SHALL contain stable identifiers sufficient to correlate tenant, WSD, Security Domain, policy, and deployment evidence.</x:v>
      </x:c>
      <x:c r="C170" s="14" t="str">
        <x:v>Security operations</x:v>
      </x:c>
      <x:c r="D170" s="14" t="str">
        <x:v>RA §26</x:v>
      </x:c>
      <x:c r="E170" s="14" t="str">
        <x:v>S00</x:v>
      </x:c>
      <x:c r="F170" s="14" t="str">
        <x:v>CT-010; CT-049</x:v>
      </x:c>
      <x:c r="G170" s="22" t="str">
        <x:v>Unresolved</x:v>
      </x:c>
      <x:c r="H170" s="22" t="str"/>
      <x:c r="I170" s="22" t="str"/>
      <x:c r="J170" s="22" t="str"/>
      <x:c r="K170" s="22" t="str"/>
    </x:row>
    <x:row r="171" ht="38" customHeight="1">
      <x:c r="A171" s="14" t="str">
        <x:v>OBS-002</x:v>
      </x:c>
      <x:c r="B171" s="14" t="str">
        <x:v>Security control logging SHALL not depend solely on the tenant workload being healthy or cooperative.</x:v>
      </x:c>
      <x:c r="C171" s="14" t="str">
        <x:v>Security operations</x:v>
      </x:c>
      <x:c r="D171" s="14" t="str">
        <x:v>RA §26</x:v>
      </x:c>
      <x:c r="E171" s="14" t="str">
        <x:v>S00</x:v>
      </x:c>
      <x:c r="F171" s="14" t="str">
        <x:v>CT-010; CT-050</x:v>
      </x:c>
      <x:c r="G171" s="22" t="str">
        <x:v>Unresolved</x:v>
      </x:c>
      <x:c r="H171" s="22" t="str"/>
      <x:c r="I171" s="22" t="str"/>
      <x:c r="J171" s="22" t="str"/>
      <x:c r="K171" s="22" t="str"/>
    </x:row>
    <x:row r="172" ht="61" customHeight="1">
      <x:c r="A172" s="14" t="str">
        <x:v>OBS-003</x:v>
      </x:c>
      <x:c r="B172" s="14" t="str">
        <x:v>Logging profiles SHALL define event coverage, attribution, time integrity, minimization, forwarding latency, buffering, loss alerting, retention, access and safe behavior during collection failure.</x:v>
      </x:c>
      <x:c r="C172" s="14" t="str">
        <x:v>Security operations</x:v>
      </x:c>
      <x:c r="D172" s="14" t="str">
        <x:v>RA §26</x:v>
      </x:c>
      <x:c r="E172" s="14" t="str">
        <x:v>S11</x:v>
      </x:c>
      <x:c r="F172" s="14" t="str">
        <x:v>CT-010; CT-050; CT-068</x:v>
      </x:c>
      <x:c r="G172" s="22" t="str">
        <x:v>Unresolved</x:v>
      </x:c>
      <x:c r="H172" s="22" t="str"/>
      <x:c r="I172" s="22" t="str"/>
      <x:c r="J172" s="22" t="str"/>
      <x:c r="K172" s="22" t="str"/>
    </x:row>
    <x:row r="173" ht="48" customHeight="1">
      <x:c r="A173" s="14" t="str">
        <x:v>CAP-001</x:v>
      </x:c>
      <x:c r="B173" s="14" t="str">
        <x:v>Capacity planning SHALL include N+failure headroom so that loss of a security-edge node does not require disabling or bypassing enforcement.</x:v>
      </x:c>
      <x:c r="C173" s="14" t="str">
        <x:v>Capacity management</x:v>
      </x:c>
      <x:c r="D173" s="14" t="str">
        <x:v>RA §4; RA §26</x:v>
      </x:c>
      <x:c r="E173" s="14" t="str">
        <x:v>S00</x:v>
      </x:c>
      <x:c r="F173" s="14" t="str">
        <x:v>CT-012; CT-056</x:v>
      </x:c>
      <x:c r="G173" s="22" t="str">
        <x:v>Unresolved</x:v>
      </x:c>
      <x:c r="H173" s="22" t="str"/>
      <x:c r="I173" s="22" t="str"/>
      <x:c r="J173" s="22" t="str"/>
      <x:c r="K173" s="22" t="str"/>
    </x:row>
    <x:row r="174" ht="61" customHeight="1">
      <x:c r="A174" s="14" t="str">
        <x:v>CAP-002</x:v>
      </x:c>
      <x:c r="B174" s="14" t="str">
        <x:v>Placement and growth admission SHALL evaluate measured surviving capacity, security-feature overhead, shared dependencies, quotas and operational reserves for the approved failure model.</x:v>
      </x:c>
      <x:c r="C174" s="14" t="str">
        <x:v>Capacity management</x:v>
      </x:c>
      <x:c r="D174" s="14" t="str">
        <x:v>RA §4; RA §26</x:v>
      </x:c>
      <x:c r="E174" s="14" t="str">
        <x:v>S00</x:v>
      </x:c>
      <x:c r="F174" s="14" t="str">
        <x:v>CT-039; CT-047; CT-056</x:v>
      </x:c>
      <x:c r="G174" s="22" t="str">
        <x:v>Unresolved</x:v>
      </x:c>
      <x:c r="H174" s="22" t="str"/>
      <x:c r="I174" s="22" t="str"/>
      <x:c r="J174" s="22" t="str"/>
      <x:c r="K174" s="22" t="str"/>
    </x:row>
    <x:row r="175" ht="61" customHeight="1">
      <x:c r="A175" s="14" t="str">
        <x:v>CAP-003</x:v>
      </x:c>
      <x:c r="B175" s="14" t="str">
        <x:v>Capacity reporting SHALL distinguish procured, received, commissioned, allocated, reserved and consumed capacity and identify unused-capacity age, constraints and accountable remediation.</x:v>
      </x:c>
      <x:c r="C175" s="14" t="str">
        <x:v>Service management</x:v>
      </x:c>
      <x:c r="D175" s="14" t="str">
        <x:v>RA §4; RA §26</x:v>
      </x:c>
      <x:c r="E175" s="14" t="str">
        <x:v>S28</x:v>
      </x:c>
      <x:c r="F175" s="14" t="str">
        <x:v>CT-074</x:v>
      </x:c>
      <x:c r="G175" s="22" t="str">
        <x:v>Unresolved</x:v>
      </x:c>
      <x:c r="H175" s="22" t="str"/>
      <x:c r="I175" s="22" t="str"/>
      <x:c r="J175" s="22" t="str"/>
      <x:c r="K175" s="22" t="str"/>
    </x:row>
    <x:row r="176" ht="38" customHeight="1">
      <x:c r="A176" s="14" t="str">
        <x:v>FAIL-001</x:v>
      </x:c>
      <x:c r="B176" s="14" t="str">
        <x:v>Control-plane failure SHALL NOT create an implicit permit path.</x:v>
      </x:c>
      <x:c r="C176" s="14" t="str">
        <x:v>Platform operations</x:v>
      </x:c>
      <x:c r="D176" s="14" t="str">
        <x:v>RA §14; RA §27</x:v>
      </x:c>
      <x:c r="E176" s="14" t="str">
        <x:v>S00</x:v>
      </x:c>
      <x:c r="F176" s="14" t="str">
        <x:v>CT-011; CT-012; CT-024; CT-052</x:v>
      </x:c>
      <x:c r="G176" s="22" t="str">
        <x:v>Unresolved</x:v>
      </x:c>
      <x:c r="H176" s="22" t="str"/>
      <x:c r="I176" s="22" t="str"/>
      <x:c r="J176" s="22" t="str"/>
      <x:c r="K176" s="22" t="str"/>
    </x:row>
    <x:row r="177" ht="38" customHeight="1">
      <x:c r="A177" s="14" t="str">
        <x:v>FAIL-002</x:v>
      </x:c>
      <x:c r="B177" s="14" t="str">
        <x:v>Failover and control-plane-loss scenarios SHALL be included in platform conformance testing.</x:v>
      </x:c>
      <x:c r="C177" s="14" t="str">
        <x:v>Assurance engineering</x:v>
      </x:c>
      <x:c r="D177" s="14" t="str">
        <x:v>RA §14; RA §27</x:v>
      </x:c>
      <x:c r="E177" s="14" t="str">
        <x:v>S00</x:v>
      </x:c>
      <x:c r="F177" s="14" t="str">
        <x:v>CT-011; CT-012; CT-027; CT-038; CT-050; CT-054; CT-055</x:v>
      </x:c>
      <x:c r="G177" s="22" t="str">
        <x:v>Unresolved</x:v>
      </x:c>
      <x:c r="H177" s="22" t="str"/>
      <x:c r="I177" s="22" t="str"/>
      <x:c r="J177" s="22" t="str"/>
      <x:c r="K177" s="22" t="str"/>
    </x:row>
    <x:row r="178" ht="74" customHeight="1">
      <x:c r="A178" s="14" t="str">
        <x:v>FAIL-003</x:v>
      </x:c>
      <x:c r="B178" s="14" t="str">
        <x:v>Every critical dependency SHALL have a qualified loss/partition/recovery behavior, including credential/key continuity, logging loss, state recovery and split-brain prevention; unavailable authority SHALL NOT authorize fallback bypass.</x:v>
      </x:c>
      <x:c r="C178" s="14" t="str">
        <x:v>Platform operations</x:v>
      </x:c>
      <x:c r="D178" s="14" t="str">
        <x:v>RA §14; RA §27</x:v>
      </x:c>
      <x:c r="E178" s="14" t="str">
        <x:v>S00</x:v>
      </x:c>
      <x:c r="F178" s="14" t="str">
        <x:v>CT-027; CT-038; CT-044; CT-050; CT-054; CT-055</x:v>
      </x:c>
      <x:c r="G178" s="22" t="str">
        <x:v>Unresolved</x:v>
      </x:c>
      <x:c r="H178" s="22" t="str"/>
      <x:c r="I178" s="22" t="str"/>
      <x:c r="J178" s="22" t="str"/>
      <x:c r="K178" s="22" t="str"/>
    </x:row>
    <x:row r="179" ht="61" customHeight="1">
      <x:c r="A179" s="14" t="str">
        <x:v>REC-001</x:v>
      </x:c>
      <x:c r="B179" s="14" t="str">
        <x:v>Recovery procedures SHALL include independent bootstrap access, protected key/state/catalog recovery, dependency ordering, writer fencing, isolated validation and attributable activation authority.</x:v>
      </x:c>
      <x:c r="C179" s="14" t="str">
        <x:v>Continuity management</x:v>
      </x:c>
      <x:c r="D179" s="14" t="str">
        <x:v>RA §21; RA §27</x:v>
      </x:c>
      <x:c r="E179" s="14" t="str">
        <x:v>S00</x:v>
      </x:c>
      <x:c r="F179" s="14" t="str">
        <x:v>CT-052; CT-054; CT-055</x:v>
      </x:c>
      <x:c r="G179" s="22" t="str">
        <x:v>Unresolved</x:v>
      </x:c>
      <x:c r="H179" s="22" t="str"/>
      <x:c r="I179" s="22" t="str"/>
      <x:c r="J179" s="22" t="str"/>
      <x:c r="K179" s="22" t="str"/>
    </x:row>
    <x:row r="180" ht="61" customHeight="1">
      <x:c r="A180" s="14" t="str">
        <x:v>REC-002</x:v>
      </x:c>
      <x:c r="B180" s="14" t="str">
        <x:v>Recovery and failback exercises SHALL measure actual service RTO/RPO, data consistency and security outcomes and SHALL remove temporary routes, grants and exposures after authorized completion.</x:v>
      </x:c>
      <x:c r="C180" s="14" t="str">
        <x:v>Continuity management</x:v>
      </x:c>
      <x:c r="D180" s="14" t="str">
        <x:v>RA §21; RA §27</x:v>
      </x:c>
      <x:c r="E180" s="14" t="str">
        <x:v>S00</x:v>
      </x:c>
      <x:c r="F180" s="14" t="str">
        <x:v>CT-052; CT-054; CT-055; CT-060</x:v>
      </x:c>
      <x:c r="G180" s="22" t="str">
        <x:v>Unresolved</x:v>
      </x:c>
      <x:c r="H180" s="22" t="str"/>
      <x:c r="I180" s="22" t="str"/>
      <x:c r="J180" s="22" t="str"/>
      <x:c r="K180" s="22" t="str"/>
    </x:row>
    <x:row r="181" ht="61" customHeight="1">
      <x:c r="A181" s="14" t="str">
        <x:v>VULN-001</x:v>
      </x:c>
      <x:c r="B181" s="14" t="str">
        <x:v>All platform and automation assets SHALL have version/support inventory, vulnerability ownership, risk-based remediation targets, exception handling and retirement decisions.</x:v>
      </x:c>
      <x:c r="C181" s="14" t="str">
        <x:v>Vulnerability management</x:v>
      </x:c>
      <x:c r="D181" s="14" t="str">
        <x:v>RA §25</x:v>
      </x:c>
      <x:c r="E181" s="14" t="str">
        <x:v>S05; S07</x:v>
      </x:c>
      <x:c r="F181" s="14" t="str">
        <x:v>CT-041; CT-042; CT-074</x:v>
      </x:c>
      <x:c r="G181" s="22" t="str">
        <x:v>Unresolved</x:v>
      </x:c>
      <x:c r="H181" s="22" t="str"/>
      <x:c r="I181" s="22" t="str"/>
      <x:c r="J181" s="22" t="str"/>
      <x:c r="K181" s="22" t="str"/>
    </x:row>
    <x:row r="182" ht="61" customHeight="1">
      <x:c r="A182" s="14" t="str">
        <x:v>VULN-002</x:v>
      </x:c>
      <x:c r="B182" s="14" t="str">
        <x:v>Security updates SHALL use trusted artifacts, compatibility/regression evidence, phased promotion and a tested recovery strategy; unsupported or vulnerable templates SHALL be controlled at new-deployment admission.</x:v>
      </x:c>
      <x:c r="C182" s="14" t="str">
        <x:v>Platform engineering</x:v>
      </x:c>
      <x:c r="D182" s="14" t="str">
        <x:v>RA §25</x:v>
      </x:c>
      <x:c r="E182" s="14" t="str">
        <x:v>S07</x:v>
      </x:c>
      <x:c r="F182" s="14" t="str">
        <x:v>CT-015; CT-040; CT-041; CT-042</x:v>
      </x:c>
      <x:c r="G182" s="22" t="str">
        <x:v>Unresolved</x:v>
      </x:c>
      <x:c r="H182" s="22" t="str"/>
      <x:c r="I182" s="22" t="str"/>
      <x:c r="J182" s="22" t="str"/>
      <x:c r="K182" s="22" t="str"/>
    </x:row>
    <x:row r="183" ht="48" customHeight="1">
      <x:c r="A183" s="14" t="str">
        <x:v>IR-001</x:v>
      </x:c>
      <x:c r="B183" s="14" t="str">
        <x:v>Emergency containment SHALL be possible without requiring a physical-fabric redesign or broad outage to unrelated tenants.</x:v>
      </x:c>
      <x:c r="C183" s="14" t="str">
        <x:v>Incident response</x:v>
      </x:c>
      <x:c r="D183" s="14" t="str">
        <x:v>RA §25; RA §27</x:v>
      </x:c>
      <x:c r="E183" s="14" t="str">
        <x:v>S00</x:v>
      </x:c>
      <x:c r="F183" s="14" t="str">
        <x:v>CT-057; CT-067</x:v>
      </x:c>
      <x:c r="G183" s="22" t="str">
        <x:v>Unresolved</x:v>
      </x:c>
      <x:c r="H183" s="22" t="str"/>
      <x:c r="I183" s="22" t="str"/>
      <x:c r="J183" s="22" t="str"/>
      <x:c r="K183" s="22" t="str"/>
    </x:row>
    <x:row r="184" ht="61" customHeight="1">
      <x:c r="A184" s="14" t="str">
        <x:v>IR-002</x:v>
      </x:c>
      <x:c r="B184" s="14" t="str">
        <x:v>Incident procedures SHALL define authority, scoped containment, evidence custody, coordination, recovery acceptance and reconciliation of emergency changes; containment release SHALL be explicit and attributable.</x:v>
      </x:c>
      <x:c r="C184" s="14" t="str">
        <x:v>Incident response</x:v>
      </x:c>
      <x:c r="D184" s="14" t="str">
        <x:v>RA §25; RA §27</x:v>
      </x:c>
      <x:c r="E184" s="14" t="str">
        <x:v>S12</x:v>
      </x:c>
      <x:c r="F184" s="14" t="str">
        <x:v>CT-049; CT-057; CT-058; CT-066</x:v>
      </x:c>
      <x:c r="G184" s="22" t="str">
        <x:v>Unresolved</x:v>
      </x:c>
      <x:c r="H184" s="22" t="str"/>
      <x:c r="I184" s="22" t="str"/>
      <x:c r="J184" s="22" t="str"/>
      <x:c r="K184" s="22" t="str"/>
    </x:row>
    <x:row r="185" ht="38" customHeight="1">
      <x:c r="A185" s="14" t="str">
        <x:v>LIFE-001</x:v>
      </x:c>
      <x:c r="B185" s="14" t="str">
        <x:v>Offboarding SHALL remove obsolete routes and policy objects and SHALL produce evidence of completion.</x:v>
      </x:c>
      <x:c r="C185" s="14" t="str">
        <x:v>Service management</x:v>
      </x:c>
      <x:c r="D185" s="14" t="str">
        <x:v>RA §27</x:v>
      </x:c>
      <x:c r="E185" s="14" t="str">
        <x:v>S00</x:v>
      </x:c>
      <x:c r="F185" s="14" t="str">
        <x:v>CT-013; CT-059; CT-070</x:v>
      </x:c>
      <x:c r="G185" s="22" t="str">
        <x:v>Unresolved</x:v>
      </x:c>
      <x:c r="H185" s="22" t="str"/>
      <x:c r="I185" s="22" t="str"/>
      <x:c r="J185" s="22" t="str"/>
      <x:c r="K185" s="22" t="str"/>
    </x:row>
    <x:row r="186" ht="61" customHeight="1">
      <x:c r="A186" s="14" t="str">
        <x:v>LIFE-002</x:v>
      </x:c>
      <x:c r="B186" s="14" t="str">
        <x:v>Retirement SHALL distinguish live-service removal from retained-data obligations and SHALL verify identity, DNS, route, policy, attachment, copy and key lifecycle without deleting shared or held resources.</x:v>
      </x:c>
      <x:c r="C186" s="14" t="str">
        <x:v>Service management</x:v>
      </x:c>
      <x:c r="D186" s="14" t="str">
        <x:v>RA §27</x:v>
      </x:c>
      <x:c r="E186" s="14" t="str">
        <x:v>S27</x:v>
      </x:c>
      <x:c r="F186" s="14" t="str">
        <x:v>CT-013; CT-053; CT-059; CT-070; CT-078</x:v>
      </x:c>
      <x:c r="G186" s="22" t="str">
        <x:v>Unresolved</x:v>
      </x:c>
      <x:c r="H186" s="22" t="str"/>
      <x:c r="I186" s="22" t="str"/>
      <x:c r="J186" s="22" t="str"/>
      <x:c r="K186" s="22" t="str"/>
    </x:row>
    <x:row r="187" ht="61" customHeight="1">
      <x:c r="A187" s="14" t="str">
        <x:v>LIFE-003</x:v>
      </x:c>
      <x:c r="B187" s="14" t="str">
        <x:v>Sanitization SHALL use an approved media-appropriate method with copy/key-scope evidence; deletion of a resource record SHALL NOT alone constitute proof of data destruction.</x:v>
      </x:c>
      <x:c r="C187" s="14" t="str">
        <x:v>Data owner</x:v>
      </x:c>
      <x:c r="D187" s="14" t="str">
        <x:v>RA §27</x:v>
      </x:c>
      <x:c r="E187" s="14" t="str">
        <x:v>S27</x:v>
      </x:c>
      <x:c r="F187" s="14" t="str">
        <x:v>CT-053; CT-059</x:v>
      </x:c>
      <x:c r="G187" s="22" t="str">
        <x:v>Unresolved</x:v>
      </x:c>
      <x:c r="H187" s="22" t="str"/>
      <x:c r="I187" s="22" t="str"/>
      <x:c r="J187" s="22" t="str"/>
      <x:c r="K187" s="22" t="str"/>
    </x:row>
    <x:row r="188" ht="38" customHeight="1">
      <x:c r="A188" s="14" t="str">
        <x:v>MIG-001</x:v>
      </x:c>
      <x:c r="B188" s="14" t="str">
        <x:v>Migration connectivity SHALL be time-bound unless explicitly converted to an approved steady-state connection.</x:v>
      </x:c>
      <x:c r="C188" s="14" t="str">
        <x:v>Migration owner</x:v>
      </x:c>
      <x:c r="D188" s="14" t="str">
        <x:v>RA §27</x:v>
      </x:c>
      <x:c r="E188" s="14" t="str">
        <x:v>S00</x:v>
      </x:c>
      <x:c r="F188" s="14" t="str">
        <x:v>CT-058; CT-060; CT-076</x:v>
      </x:c>
      <x:c r="G188" s="22" t="str">
        <x:v>Unresolved</x:v>
      </x:c>
      <x:c r="H188" s="22" t="str"/>
      <x:c r="I188" s="22" t="str"/>
      <x:c r="J188" s="22" t="str"/>
      <x:c r="K188" s="22" t="str"/>
    </x:row>
    <x:row r="189" ht="38" customHeight="1">
      <x:c r="A189" s="14" t="str">
        <x:v>MIG-002</x:v>
      </x:c>
      <x:c r="B189" s="14" t="str">
        <x:v>Migration flows SHALL traverse an approved security edge when they cross security-domain boundaries.</x:v>
      </x:c>
      <x:c r="C189" s="14" t="str">
        <x:v>Migration owner</x:v>
      </x:c>
      <x:c r="D189" s="14" t="str">
        <x:v>RA §27</x:v>
      </x:c>
      <x:c r="E189" s="14" t="str">
        <x:v>S00</x:v>
      </x:c>
      <x:c r="F189" s="14" t="str">
        <x:v>CT-003; CT-060</x:v>
      </x:c>
      <x:c r="G189" s="22" t="str">
        <x:v>Unresolved</x:v>
      </x:c>
      <x:c r="H189" s="22" t="str"/>
      <x:c r="I189" s="22" t="str"/>
      <x:c r="J189" s="22" t="str"/>
      <x:c r="K189" s="22" t="str"/>
    </x:row>
    <x:row r="190" ht="61" customHeight="1">
      <x:c r="A190" s="14" t="str">
        <x:v>MIG-003</x:v>
      </x:c>
      <x:c r="B190" s="14" t="str">
        <x:v>Migration and exit rehearsals SHALL validate data/application consistency, identity/key dependencies, equivalent security outcomes, fencing/cutover, rollback feasibility and complete transition teardown.</x:v>
      </x:c>
      <x:c r="C190" s="14" t="str">
        <x:v>Migration owner</x:v>
      </x:c>
      <x:c r="D190" s="14" t="str">
        <x:v>RA §27</x:v>
      </x:c>
      <x:c r="E190" s="14" t="str">
        <x:v>S00</x:v>
      </x:c>
      <x:c r="F190" s="14" t="str">
        <x:v>CT-054; CT-060; CT-073; CT-078</x:v>
      </x:c>
      <x:c r="G190" s="22" t="str">
        <x:v>Unresolved</x:v>
      </x:c>
      <x:c r="H190" s="22" t="str"/>
      <x:c r="I190" s="22" t="str"/>
      <x:c r="J190" s="22" t="str"/>
      <x:c r="K190" s="22" t="str"/>
    </x:row>
    <x:row r="191" ht="61" customHeight="1">
      <x:c r="A191" s="14" t="str">
        <x:v>OPS-001</x:v>
      </x:c>
      <x:c r="B191" s="14" t="str">
        <x:v>Each service SHALL publish a provider/tenant/shared control responsibility matrix and accountable decision owners for its complete lifecycle, including inherited controls, support access and data disposal.</x:v>
      </x:c>
      <x:c r="C191" s="14" t="str">
        <x:v>Service management</x:v>
      </x:c>
      <x:c r="D191" s="14" t="str">
        <x:v>RA §20; RA §26</x:v>
      </x:c>
      <x:c r="E191" s="14" t="str">
        <x:v>S05; S28</x:v>
      </x:c>
      <x:c r="F191" s="14" t="str">
        <x:v>CT-019; CT-062; CT-079</x:v>
      </x:c>
      <x:c r="G191" s="22" t="str">
        <x:v>Unresolved</x:v>
      </x:c>
      <x:c r="H191" s="22" t="str"/>
      <x:c r="I191" s="22" t="str"/>
      <x:c r="J191" s="22" t="str"/>
      <x:c r="K191" s="22" t="str"/>
    </x:row>
    <x:row r="192" ht="61" customHeight="1">
      <x:c r="A192" s="14" t="str">
        <x:v>OPS-002</x:v>
      </x:c>
      <x:c r="B192" s="14" t="str">
        <x:v>Production handover SHALL include owner/escalation, dependency, SLO/recovery, capacity, monitoring, runbook, support/version and evidence records; privileged access SHALL be reviewed against the actual authority model.</x:v>
      </x:c>
      <x:c r="C192" s="14" t="str">
        <x:v>Service management</x:v>
      </x:c>
      <x:c r="D192" s="14" t="str">
        <x:v>RA §20; RA §26</x:v>
      </x:c>
      <x:c r="E192" s="14" t="str">
        <x:v>S00</x:v>
      </x:c>
      <x:c r="F192" s="14" t="str">
        <x:v>CT-019; CT-062; CT-069</x:v>
      </x:c>
      <x:c r="G192" s="22" t="str">
        <x:v>Unresolved</x:v>
      </x:c>
      <x:c r="H192" s="22" t="str"/>
      <x:c r="I192" s="22" t="str"/>
      <x:c r="J192" s="22" t="str"/>
      <x:c r="K192" s="22" t="str"/>
    </x:row>
    <x:row r="193" ht="38" customHeight="1">
      <x:c r="A193" s="14" t="str">
        <x:v>EXC-001</x:v>
      </x:c>
      <x:c r="B193" s="14" t="str">
        <x:v>Every exception SHALL have an accountable risk owner and expiry or review date.</x:v>
      </x:c>
      <x:c r="C193" s="14" t="str">
        <x:v>Risk owner</x:v>
      </x:c>
      <x:c r="D193" s="14" t="str">
        <x:v>RA §25</x:v>
      </x:c>
      <x:c r="E193" s="14" t="str">
        <x:v>S00</x:v>
      </x:c>
      <x:c r="F193" s="14" t="str">
        <x:v>CT-058; CT-062</x:v>
      </x:c>
      <x:c r="G193" s="22" t="str">
        <x:v>Unresolved</x:v>
      </x:c>
      <x:c r="H193" s="22" t="str"/>
      <x:c r="I193" s="22" t="str"/>
      <x:c r="J193" s="22" t="str"/>
      <x:c r="K193" s="22" t="str"/>
    </x:row>
    <x:row r="194" ht="48" customHeight="1">
      <x:c r="A194" s="14" t="str">
        <x:v>EXC-002</x:v>
      </x:c>
      <x:c r="B194" s="14" t="str">
        <x:v>The control plane SHALL surface expired exceptions as non-compliant state rather than allowing them to become permanent undocumented architecture.</x:v>
      </x:c>
      <x:c r="C194" s="14" t="str">
        <x:v>Risk owner</x:v>
      </x:c>
      <x:c r="D194" s="14" t="str">
        <x:v>RA §25</x:v>
      </x:c>
      <x:c r="E194" s="14" t="str">
        <x:v>S00</x:v>
      </x:c>
      <x:c r="F194" s="14" t="str">
        <x:v>CT-058; CT-069</x:v>
      </x:c>
      <x:c r="G194" s="22" t="str">
        <x:v>Unresolved</x:v>
      </x:c>
      <x:c r="H194" s="22" t="str"/>
      <x:c r="I194" s="22" t="str"/>
      <x:c r="J194" s="22" t="str"/>
      <x:c r="K194" s="22" t="str"/>
    </x:row>
    <x:row r="195" ht="74" customHeight="1">
      <x:c r="A195" s="14" t="str">
        <x:v>EXC-003</x:v>
      </x:c>
      <x:c r="B195" s="14" t="str">
        <x:v>Exceptions SHALL bind requirement IDs, precise scope, effective/expiry times, compensating controls and authorized risk approval; expiry handling SHALL preserve evidence and follow a pre-approved secure continuity/remediation decision.</x:v>
      </x:c>
      <x:c r="C195" s="14" t="str">
        <x:v>Risk owner</x:v>
      </x:c>
      <x:c r="D195" s="14" t="str">
        <x:v>RA §25</x:v>
      </x:c>
      <x:c r="E195" s="14" t="str">
        <x:v>S00</x:v>
      </x:c>
      <x:c r="F195" s="14" t="str">
        <x:v>CT-017; CT-058; CT-069</x:v>
      </x:c>
      <x:c r="G195" s="22" t="str">
        <x:v>Unresolved</x:v>
      </x:c>
      <x:c r="H195" s="22" t="str"/>
      <x:c r="I195" s="22" t="str"/>
      <x:c r="J195" s="22" t="str"/>
      <x:c r="K195" s="22" t="str"/>
    </x:row>
    <x:row r="196" ht="61" customHeight="1">
      <x:c r="A196" s="14" t="str">
        <x:v>ONB-001</x:v>
      </x:c>
      <x:c r="B196" s="14" t="str">
        <x:v>Onboarding SHALL verify ownership, complete intent/profiles, current qualification/authorization conditions, operational readiness and lifecycle obligations before Service Ready is granted.</x:v>
      </x:c>
      <x:c r="C196" s="14" t="str">
        <x:v>Service management</x:v>
      </x:c>
      <x:c r="D196" s="14" t="str">
        <x:v>RA §23; RA §28</x:v>
      </x:c>
      <x:c r="E196" s="14" t="str">
        <x:v>S00</x:v>
      </x:c>
      <x:c r="F196" s="14" t="str">
        <x:v>CT-017; CT-018; CT-049; CT-062; CT-069</x:v>
      </x:c>
      <x:c r="G196" s="22" t="str">
        <x:v>Unresolved</x:v>
      </x:c>
      <x:c r="H196" s="22" t="str"/>
      <x:c r="I196" s="22" t="str"/>
      <x:c r="J196" s="22" t="str"/>
      <x:c r="K196" s="22" t="str"/>
    </x:row>
    <x:row r="197" ht="61" customHeight="1">
      <x:c r="A197" s="14" t="str">
        <x:v>DEL-001</x:v>
      </x:c>
      <x:c r="B197" s="14" t="str">
        <x:v>The reference implementation SHALL demonstrate two-tenant isolation, controlled zone transitions, protected management, service bindings, recovery and retirement on a qualified first platform before scale expansion.</x:v>
      </x:c>
      <x:c r="C197" s="14" t="str">
        <x:v>Delivery owner</x:v>
      </x:c>
      <x:c r="D197" s="14" t="str">
        <x:v>RA §22; RA §30</x:v>
      </x:c>
      <x:c r="E197" s="14" t="str">
        <x:v>S00</x:v>
      </x:c>
      <x:c r="F197" s="14" t="str">
        <x:v>CT-001; CT-003; CT-004; CT-008; CT-013; CT-052; CT-069</x:v>
      </x:c>
      <x:c r="G197" s="22" t="str">
        <x:v>Unresolved</x:v>
      </x:c>
      <x:c r="H197" s="22" t="str"/>
      <x:c r="I197" s="22" t="str"/>
      <x:c r="J197" s="22" t="str"/>
      <x:c r="K197" s="22" t="str"/>
    </x:row>
    <x:row r="198" ht="61" customHeight="1">
      <x:c r="A198" s="14" t="str">
        <x:v>DEL-002</x:v>
      </x:c>
      <x:c r="B198" s="14" t="str">
        <x:v>Multi-platform portability claims SHALL be supported by the same intent/core conformance outcomes on at least two qualified implementations and by a representative data/application exit rehearsal.</x:v>
      </x:c>
      <x:c r="C198" s="14" t="str">
        <x:v>Delivery owner</x:v>
      </x:c>
      <x:c r="D198" s="14" t="str">
        <x:v>RA §22; RA §30</x:v>
      </x:c>
      <x:c r="E198" s="14" t="str">
        <x:v>S00</x:v>
      </x:c>
      <x:c r="F198" s="14" t="str">
        <x:v>CT-016; CT-060; CT-073</x:v>
      </x:c>
      <x:c r="G198" s="22" t="str">
        <x:v>Unresolved</x:v>
      </x:c>
      <x:c r="H198" s="22" t="str"/>
      <x:c r="I198" s="22" t="str"/>
      <x:c r="J198" s="22" t="str"/>
      <x:c r="K198" s="22" t="str"/>
    </x:row>
    <x:row r="199" ht="61" customHeight="1">
      <x:c r="A199" s="14" t="str">
        <x:v>ACPT-001</x:v>
      </x:c>
      <x:c r="B199" s="14" t="str">
        <x:v>Production acceptance SHALL require current evidence for every applicable acceptance criterion, explicit exclusions and risk decisions, operational owner acceptance and a valid separately issued authorization decision.</x:v>
      </x:c>
      <x:c r="C199" s="14" t="str">
        <x:v>Security authority</x:v>
      </x:c>
      <x:c r="D199" s="14" t="str">
        <x:v>RA §28; RA §30</x:v>
      </x:c>
      <x:c r="E199" s="14" t="str">
        <x:v>S04; S05</x:v>
      </x:c>
      <x:c r="F199" s="14" t="str">
        <x:v>CT-018; CT-049; CT-062; CT-069</x:v>
      </x:c>
      <x:c r="G199" s="22" t="str">
        <x:v>Unresolved</x:v>
      </x:c>
      <x:c r="H199" s="22" t="str"/>
      <x:c r="I199" s="22" t="str"/>
      <x:c r="J199" s="22" t="str"/>
      <x:c r="K199" s="22" t="str"/>
    </x:row>
  </x:sheetData>
  <x:mergeCells>
    <x:mergeCell ref="A1:K1"/>
    <x:mergeCell ref="A2:K3"/>
  </x:mergeCells>
  <x:conditionalFormatting sqref="G6:G199">
    <x:cfRule type="expression" dxfId="2" priority="1">
      <x:formula>G6="Blocked"</x:formula>
    </x:cfRule>
    <x:cfRule type="expression" dxfId="3" priority="2">
      <x:formula>G6="Failed"</x:formula>
    </x:cfRule>
  </x:conditionalFormatting>
  <x:dataValidations count="1">
    <x:dataValidation type="list" sqref="G6:G199">
      <x:formula1>"Unresolved,Applicable,Not applicable,Inherited,Shared"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1b11516b90457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6" hidden="0" customWidth="1"/>
    <x:col min="3" max="3" width="32" hidden="0" customWidth="1"/>
    <x:col min="4" max="4" width="40" hidden="0" customWidth="1"/>
    <x:col min="5" max="5" width="48" hidden="0" customWidth="1"/>
    <x:col min="6" max="6" width="25" hidden="0" customWidth="1"/>
    <x:col min="7" max="7" width="20" hidden="0" customWidth="1"/>
    <x:col min="8" max="8" width="28" hidden="0" customWidth="1"/>
    <x:col min="9" max="9" width="35" hidden="0" customWidth="1"/>
  </x:cols>
  <x:sheetData>
    <x:row r="1" ht="30" customHeight="1">
      <x:c r="A1" s="3" t="str">
        <x:v>Architecture and site decisions</x:v>
      </x:c>
      <x:c r="B1" s="3"/>
      <x:c r="C1" s="3"/>
      <x:c r="D1" s="3"/>
      <x:c r="E1" s="3"/>
      <x:c r="F1" s="3"/>
      <x:c r="G1" s="3"/>
      <x:c r="H1" s="3"/>
      <x:c r="I1" s="3"/>
    </x:row>
    <x:row r="2" ht="20" customHeight="1">
      <x:c r="A2" s="8" t="str">
        <x:v>12 inherited Dxx decisions plus six separately identified D14 records. D14 identifiers are kit indexes, not a silent renumbering of the source.</x:v>
      </x:c>
      <x:c r="B2" s="8"/>
      <x:c r="C2" s="8"/>
      <x:c r="D2" s="8"/>
      <x:c r="E2" s="8"/>
      <x:c r="F2" s="8"/>
      <x:c r="G2" s="8"/>
      <x:c r="H2" s="8"/>
      <x:c r="I2" s="8"/>
    </x:row>
    <x:row r="3" ht="20" customHeight="1">
      <x:c r="A3" s="8"/>
      <x:c r="B3" s="8"/>
      <x:c r="C3" s="8"/>
      <x:c r="D3" s="8"/>
      <x:c r="E3" s="8"/>
      <x:c r="F3" s="8"/>
      <x:c r="G3" s="8"/>
      <x:c r="H3" s="8"/>
      <x:c r="I3" s="8"/>
    </x:row>
    <x:row r="5" ht="32" customHeight="1">
      <x:c r="A5" s="19" t="str">
        <x:v>ID</x:v>
      </x:c>
      <x:c r="B5" s="19" t="str">
        <x:v>Decision to resolve</x:v>
      </x:c>
      <x:c r="C5" s="19" t="str">
        <x:v>Owner role</x:v>
      </x:c>
      <x:c r="D5" s="19" t="str">
        <x:v>Actual selection</x:v>
      </x:c>
      <x:c r="E5" s="19" t="str">
        <x:v>Required basis / evidence</x:v>
      </x:c>
      <x:c r="F5" s="19" t="str">
        <x:v>Source home</x:v>
      </x:c>
      <x:c r="G5" s="19" t="str">
        <x:v>Decision</x:v>
      </x:c>
      <x:c r="H5" s="19" t="str">
        <x:v>Issuer / reference</x:v>
      </x:c>
      <x:c r="I5" s="19" t="str">
        <x:v>Blocking gate / condition</x:v>
      </x:c>
    </x:row>
    <x:row r="6" ht="48" customHeight="1">
      <x:c r="A6" s="14" t="str">
        <x:v>D01</x:v>
      </x:c>
      <x:c r="B6" s="14" t="str">
        <x:v>Site/cell actual topology</x:v>
      </x:c>
      <x:c r="C6" s="14" t="str">
        <x:v>Capacity and platform owners; Site/platform architect</x:v>
      </x:c>
      <x:c r="D6" s="22" t="str"/>
      <x:c r="E6" s="14" t="str">
        <x:v>As-built dependency map and witnessed failure coverage. Approved service envelope with binding bottleneck and growth trigger.</x:v>
      </x:c>
      <x:c r="F6" s="14" t="str">
        <x:v>GM §4; QUAL §§2–5</x:v>
      </x:c>
      <x:c r="G6" s="22" t="str">
        <x:v>Not issued</x:v>
      </x:c>
      <x:c r="H6" s="22" t="str"/>
      <x:c r="I6" s="22" t="str"/>
    </x:row>
    <x:row r="7" ht="61" customHeight="1">
      <x:c r="A7" s="14" t="str">
        <x:v>D02</x:v>
      </x:c>
      <x:c r="B7" s="14" t="str">
        <x:v>Zone-authority and co-residency</x:v>
      </x:c>
      <x:c r="C7" s="14" t="str">
        <x:v>Security authority and platform architect; Security authority and service owners</x:v>
      </x:c>
      <x:c r="D7" s="22" t="str"/>
      <x:c r="E7" s="14" t="str">
        <x:v>Signed sharing matrix plus placement, migration and restart observations. Control allocation, residual gaps and formal decision references.</x:v>
      </x:c>
      <x:c r="F7" s="14" t="str">
        <x:v>GM §4; QUAL §§2–5</x:v>
      </x:c>
      <x:c r="G7" s="22" t="str">
        <x:v>Not issued</x:v>
      </x:c>
      <x:c r="H7" s="22" t="str"/>
      <x:c r="I7" s="22" t="str"/>
    </x:row>
    <x:row r="8" ht="48" customHeight="1">
      <x:c r="A8" s="14" t="str">
        <x:v>D03</x:v>
      </x:c>
      <x:c r="B8" s="14" t="str">
        <x:v>Fabric/multihoming/MTU</x:v>
      </x:c>
      <x:c r="C8" s="14" t="str">
        <x:v>Network engineering; Network/platform engineering</x:v>
      </x:c>
      <x:c r="D8" s="22" t="str"/>
      <x:c r="E8" s="14" t="str">
        <x:v>Approved route schedule and observed RIB/FIB comparison. Packet-size and link/peer-failure results for every offered path.</x:v>
      </x:c>
      <x:c r="F8" s="14" t="str">
        <x:v>GM §4; QUAL §§2–5</x:v>
      </x:c>
      <x:c r="G8" s="22" t="str">
        <x:v>Not issued</x:v>
      </x:c>
      <x:c r="H8" s="22" t="str"/>
      <x:c r="I8" s="22" t="str"/>
    </x:row>
    <x:row r="9" ht="61" customHeight="1">
      <x:c r="A9" s="14" t="str">
        <x:v>D04</x:v>
      </x:c>
      <x:c r="B9" s="14" t="str">
        <x:v>Isolated domain-to-ZIP handoff</x:v>
      </x:c>
      <x:c r="C9" s="14" t="str">
        <x:v>Network and security-edge engineering; Security-edge engineering</x:v>
      </x:c>
      <x:c r="D9" s="22" t="str"/>
      <x:c r="E9" s="14" t="str">
        <x:v>Four-domain fixture with no shared-path bypass and exhausted-pool rejection. Bidirectional path traces, intended denials and failover/session evidence.</x:v>
      </x:c>
      <x:c r="F9" s="14" t="str">
        <x:v>GM §4; QUAL §§2–5</x:v>
      </x:c>
      <x:c r="G9" s="22" t="str">
        <x:v>Not issued</x:v>
      </x:c>
      <x:c r="H9" s="22" t="str"/>
      <x:c r="I9" s="22" t="str"/>
    </x:row>
    <x:row r="10" ht="126" customHeight="1">
      <x:c r="A10" s="14" t="str">
        <x:v>D05</x:v>
      </x:c>
      <x:c r="B10" s="14" t="str">
        <x:v>Actual vendor/provider tuples</x:v>
      </x:c>
      <x:c r="C10" s="14" t="str">
        <x:v>Nutanix platform owner; OpenStack platform owner; Platform and automation engineering; Platform engineering and architecture; VMware/NSX platform owner</x:v>
      </x:c>
      <x:c r="D10" s="22" t="str"/>
      <x:c r="E10" s="14" t="str">
        <x:v>Supported-operation matrix, actual handoffs, policy and failure results. Current vendor-backed low-level design plus route-propagation and Edge-failure tests. Default-policy, port authority, relocation, gateway and volume-isolation results. Witnessed lifecycle and failure reconciliation, not a provider-name checkbox. Dated compatibility record and qualified lifecycle results.</x:v>
      </x:c>
      <x:c r="F10" s="14" t="str">
        <x:v>GM §4; QUAL §§2–5</x:v>
      </x:c>
      <x:c r="G10" s="22" t="str">
        <x:v>Not issued</x:v>
      </x:c>
      <x:c r="H10" s="22" t="str"/>
      <x:c r="I10" s="22" t="str"/>
    </x:row>
    <x:row r="11" ht="87" customHeight="1">
      <x:c r="A11" s="14" t="str">
        <x:v>D06</x:v>
      </x:c>
      <x:c r="B11" s="14" t="str">
        <x:v>Management/bootstrap/trust</x:v>
      </x:c>
      <x:c r="C11" s="14" t="str">
        <x:v>Foundation/management owner; Identity, PKI and key owners; Management and identity owners</x:v>
      </x:c>
      <x:c r="D11" s="22" t="str"/>
      <x:c r="E11" s="14" t="str">
        <x:v>Actual role/route review and approved production-path-loss exercise. Recovery from primary platform unavailability and revoked temporary access. Rotation, revocation and outage/restore results with retained-data recovery.</x:v>
      </x:c>
      <x:c r="F11" s="14" t="str">
        <x:v>GM §4; QUAL §§2–5</x:v>
      </x:c>
      <x:c r="G11" s="22" t="str">
        <x:v>Not issued</x:v>
      </x:c>
      <x:c r="H11" s="22" t="str"/>
      <x:c r="I11" s="22" t="str"/>
    </x:row>
    <x:row r="12" ht="87" customHeight="1">
      <x:c r="A12" s="14" t="str">
        <x:v>D07</x:v>
      </x:c>
      <x:c r="B12" s="14" t="str">
        <x:v>Offered families and service protocols</x:v>
      </x:c>
      <x:c r="C12" s="14" t="str">
        <x:v>Name/address service owner; Network/platform engineering; Shared-service architects</x:v>
      </x:c>
      <x:c r="D12" s="22" t="str"/>
      <x:c r="E12" s="14" t="str">
        <x:v>Positive/negative family-specific results; no fabricated IPv4 for IPv6-only. UDP, TCP and truncation/fallback checks plus forbidden-resolver denial. Service consumption and administrative-denial tests in failure conditions.</x:v>
      </x:c>
      <x:c r="F12" s="14" t="str">
        <x:v>GM §4; QUAL §§2–5</x:v>
      </x:c>
      <x:c r="G12" s="22" t="str">
        <x:v>Not issued</x:v>
      </x:c>
      <x:c r="H12" s="22" t="str"/>
      <x:c r="I12" s="22" t="str"/>
    </x:row>
    <x:row r="13" ht="87" customHeight="1">
      <x:c r="A13" s="14" t="str">
        <x:v>D08</x:v>
      </x:c>
      <x:c r="B13" s="14" t="str">
        <x:v>Storage/protection/recovery</x:v>
      </x:c>
      <x:c r="C13" s="14" t="str">
        <x:v>Backup and recovery owners; Continuity and data owners; Storage and data owners</x:v>
      </x:c>
      <x:c r="D13" s="22" t="str"/>
      <x:c r="E13" s="14" t="str">
        <x:v>Foreign attachment/export denials and retained-copy disposal accounting. Recover useful test data and demonstrate isolation before reconnecting. Observed site/partition recovery with measured objectives and safe failback.</x:v>
      </x:c>
      <x:c r="F13" s="14" t="str">
        <x:v>GM §4; QUAL §§2–5</x:v>
      </x:c>
      <x:c r="G13" s="22" t="str">
        <x:v>Not issued</x:v>
      </x:c>
      <x:c r="H13" s="22" t="str"/>
      <x:c r="I13" s="22" t="str"/>
    </x:row>
    <x:row r="14" ht="126" customHeight="1">
      <x:c r="A14" s="14" t="str">
        <x:v>D09</x:v>
      </x:c>
      <x:c r="B14" s="14" t="str">
        <x:v>Delivery tooling and ownership</x:v>
      </x:c>
      <x:c r="C14" s="14" t="str">
        <x:v>Automation/platform owners; Existing service and platform owners; Platform and automation engineering; Provisioning and security-edge owners; Provisioning/service owners</x:v>
      </x:c>
      <x:c r="D14" s="22" t="str"/>
      <x:c r="E14" s="14" t="str">
        <x:v>Each dependency has an accepted handoff; no borrowed broad credentials. Witnessed lifecycle and failure reconciliation, not a provider-name checkbox. Interrupted-stage and failed-live-check exercises preserve unrelated services. No concurrent competing writers or duplicate allocation after timeout. Reviewed non-destructive plan, rollback boundary and service checks.</x:v>
      </x:c>
      <x:c r="F14" s="14" t="str">
        <x:v>GM §4; QUAL §§2–5</x:v>
      </x:c>
      <x:c r="G14" s="22" t="str">
        <x:v>Not issued</x:v>
      </x:c>
      <x:c r="H14" s="22" t="str"/>
      <x:c r="I14" s="22" t="str"/>
    </x:row>
    <x:row r="15" ht="61" customHeight="1">
      <x:c r="A15" s="14" t="str">
        <x:v>D10</x:v>
      </x:c>
      <x:c r="B15" s="14" t="str">
        <x:v>Service/capacity parameters</x:v>
      </x:c>
      <x:c r="C15" s="14" t="str">
        <x:v>Capacity and platform owners; Service/data owners</x:v>
      </x:c>
      <x:c r="D15" s="22" t="str"/>
      <x:c r="E15" s="14" t="str">
        <x:v>Approved service envelope with binding bottleneck and growth trigger. Approved values and test method; no unspecified production promise.</x:v>
      </x:c>
      <x:c r="F15" s="14" t="str">
        <x:v>GM §4; QUAL §§2–5</x:v>
      </x:c>
      <x:c r="G15" s="22" t="str">
        <x:v>Not issued</x:v>
      </x:c>
      <x:c r="H15" s="22" t="str"/>
      <x:c r="I15" s="22" t="str"/>
    </x:row>
    <x:row r="16" ht="74" customHeight="1">
      <x:c r="A16" s="14" t="str">
        <x:v>D11</x:v>
      </x:c>
      <x:c r="B16" s="14" t="str">
        <x:v>Qualification/operating authority</x:v>
      </x:c>
      <x:c r="C16" s="14" t="str">
        <x:v>Assurance engineering; Operations/service management; Security authority and service owners</x:v>
      </x:c>
      <x:c r="D16" s="22" t="str"/>
      <x:c r="E16" s="14" t="str">
        <x:v>All mandatory observations supported; blocked/not-run never count as pass. Control allocation, residual gaps and formal decision references. Accepted handover, credential review and scoped incident exercise.</x:v>
      </x:c>
      <x:c r="F16" s="14" t="str">
        <x:v>GM §4; QUAL §§2–5</x:v>
      </x:c>
      <x:c r="G16" s="22" t="str">
        <x:v>Not issued</x:v>
      </x:c>
      <x:c r="H16" s="22" t="str"/>
      <x:c r="I16" s="22" t="str"/>
    </x:row>
    <x:row r="17" ht="38" customHeight="1">
      <x:c r="A17" s="14" t="str">
        <x:v>D12</x:v>
      </x:c>
      <x:c r="B17" s="14" t="str">
        <x:v>Extension service scope</x:v>
      </x:c>
      <x:c r="C17" s="14" t="str">
        <x:v>Extension service owner</x:v>
      </x:c>
      <x:c r="D17" s="22" t="str"/>
      <x:c r="E17" s="14" t="str">
        <x:v>Approved scope and complete applicable extension qualification.</x:v>
      </x:c>
      <x:c r="F17" s="14" t="str">
        <x:v>GM §4; QUAL §§2–5</x:v>
      </x:c>
      <x:c r="G17" s="22" t="str">
        <x:v>Not issued</x:v>
      </x:c>
      <x:c r="H17" s="22" t="str"/>
      <x:c r="I17" s="22" t="str"/>
    </x:row>
    <x:row r="18" ht="48" customHeight="1">
      <x:c r="A18" s="14" t="str">
        <x:v>D14-01</x:v>
      </x:c>
      <x:c r="B18" s="14" t="str">
        <x:v>Native domain and service handoff support</x:v>
      </x:c>
      <x:c r="C18" s="14" t="str">
        <x:v>Actual owner to assign</x:v>
      </x:c>
      <x:c r="D18" s="22" t="str"/>
      <x:c r="E18" s="14" t="str">
        <x:v>Exact component/API/provider/installer tuple, enabled features and actual context/interface mapping.</x:v>
      </x:c>
      <x:c r="F18" s="14" t="str">
        <x:v>WD §14</x:v>
      </x:c>
      <x:c r="G18" s="22" t="str">
        <x:v>Not issued</x:v>
      </x:c>
      <x:c r="H18" s="22" t="str"/>
      <x:c r="I18" s="22" t="str">
        <x:v>Platform/service qualification.</x:v>
      </x:c>
    </x:row>
    <x:row r="19" ht="48" customHeight="1">
      <x:c r="A19" s="14" t="str">
        <x:v>D14-02</x:v>
      </x:c>
      <x:c r="B19" s="14" t="str">
        <x:v>Service frontends and return routing</x:v>
      </x:c>
      <x:c r="C19" s="14" t="str">
        <x:v>Actual owner to assign</x:v>
      </x:c>
      <x:c r="D19" s="22" t="str"/>
      <x:c r="E19" s="14" t="str">
        <x:v>Supported endpoint routing, tenant authorization, management segregation and failure behavior.</x:v>
      </x:c>
      <x:c r="F19" s="14" t="str">
        <x:v>WD §14</x:v>
      </x:c>
      <x:c r="G19" s="22" t="str">
        <x:v>Not issued</x:v>
      </x:c>
      <x:c r="H19" s="22" t="str"/>
      <x:c r="I19" s="22" t="str">
        <x:v>Shared-service acceptance and dependent activation.</x:v>
      </x:c>
    </x:row>
    <x:row r="20" ht="48" customHeight="1">
      <x:c r="A20" s="14" t="str">
        <x:v>D14-03</x:v>
      </x:c>
      <x:c r="B20" s="14" t="str">
        <x:v>Offered families and protocol profiles</x:v>
      </x:c>
      <x:c r="C20" s="14" t="str">
        <x:v>Actual owner to assign</x:v>
      </x:c>
      <x:c r="D20" s="22" t="str"/>
      <x:c r="E20" s="14" t="str">
        <x:v>Actual addresses, source/target identities, local controls, crypto and service configuration.</x:v>
      </x:c>
      <x:c r="F20" s="14" t="str">
        <x:v>WD §14</x:v>
      </x:c>
      <x:c r="G20" s="22" t="str">
        <x:v>Not issued</x:v>
      </x:c>
      <x:c r="H20" s="22" t="str"/>
      <x:c r="I20" s="22" t="str">
        <x:v>Advertising the service class.</x:v>
      </x:c>
    </x:row>
    <x:row r="21" ht="48" customHeight="1">
      <x:c r="A21" s="14" t="str">
        <x:v>D14-04</x:v>
      </x:c>
      <x:c r="B21" s="14" t="str">
        <x:v>Co-residency and physical failure scope</x:v>
      </x:c>
      <x:c r="C21" s="14" t="str">
        <x:v>Actual owner to assign</x:v>
      </x:c>
      <x:c r="D21" s="22" t="str"/>
      <x:c r="E21" s="14" t="str">
        <x:v>Actual hosts, controllers, media, racks, edge and trust dependencies with approved sharing.</x:v>
      </x:c>
      <x:c r="F21" s="14" t="str">
        <x:v>WD §14</x:v>
      </x:c>
      <x:c r="G21" s="22" t="str">
        <x:v>Not issued</x:v>
      </x:c>
      <x:c r="H21" s="22" t="str"/>
      <x:c r="I21" s="22" t="str">
        <x:v>Relevant design and capacity acceptance.</x:v>
      </x:c>
    </x:row>
    <x:row r="22" ht="48" customHeight="1">
      <x:c r="A22" s="14" t="str">
        <x:v>D14-05</x:v>
      </x:c>
      <x:c r="B22" s="14" t="str">
        <x:v>Production readiness</x:v>
      </x:c>
      <x:c r="C22" s="14" t="str">
        <x:v>Actual owner to assign</x:v>
      </x:c>
      <x:c r="D22" s="22" t="str"/>
      <x:c r="E22" s="14" t="str">
        <x:v>Named owners, promised restore/recovery evidence, support, incident paths and valid authorization.</x:v>
      </x:c>
      <x:c r="F22" s="14" t="str">
        <x:v>WD §14</x:v>
      </x:c>
      <x:c r="G22" s="22" t="str">
        <x:v>Not issued</x:v>
      </x:c>
      <x:c r="H22" s="22" t="str"/>
      <x:c r="I22" s="22" t="str">
        <x:v>Production G3; never deferred by calling it later G4 work.</x:v>
      </x:c>
    </x:row>
    <x:row r="23" ht="38" customHeight="1">
      <x:c r="A23" s="14" t="str">
        <x:v>D14-06</x:v>
      </x:c>
      <x:c r="B23" s="14" t="str">
        <x:v>Live results</x:v>
      </x:c>
      <x:c r="C23" s="14" t="str">
        <x:v>Actual owner to assign</x:v>
      </x:c>
      <x:c r="D23" s="22" t="str"/>
      <x:c r="E23" s="14" t="str">
        <x:v>Actual observations for every applicable assertion and retained CT procedure.</x:v>
      </x:c>
      <x:c r="F23" s="14" t="str">
        <x:v>WD §14</x:v>
      </x:c>
      <x:c r="G23" s="22" t="str">
        <x:v>Not issued</x:v>
      </x:c>
      <x:c r="H23" s="22" t="str"/>
      <x:c r="I23" s="22" t="str">
        <x:v>Qualification or service acceptance, according to scope.</x:v>
      </x:c>
    </x:row>
  </x:sheetData>
  <x:mergeCells>
    <x:mergeCell ref="A1:I1"/>
    <x:mergeCell ref="A2:I3"/>
  </x:mergeCells>
  <x:conditionalFormatting sqref="G6:G23">
    <x:cfRule type="expression" dxfId="4" priority="1">
      <x:formula>G6="Blocked"</x:formula>
    </x:cfRule>
    <x:cfRule type="expression" dxfId="5" priority="2">
      <x:formula>G6="Failed"</x:formula>
    </x:cfRule>
  </x:conditionalFormatting>
  <x:dataValidations count="1">
    <x:dataValidation type="list" sqref="G6:G23">
      <x:formula1>"Not issued,Proposed,Approved,Rejected,Conditional,Superseded"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e2ba27bd4746f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9" hidden="0" customWidth="1"/>
    <x:col min="3" max="3" width="42" hidden="0" customWidth="1"/>
    <x:col min="4" max="4" width="44" hidden="0" customWidth="1"/>
    <x:col min="5" max="5" width="23" hidden="0" customWidth="1"/>
    <x:col min="6" max="6" width="22" hidden="0" customWidth="1"/>
    <x:col min="7" max="7" width="32" hidden="0" customWidth="1"/>
    <x:col min="8" max="8" width="24" hidden="0" customWidth="1"/>
  </x:cols>
  <x:sheetData>
    <x:row r="1" ht="30" customHeight="1">
      <x:c r="A1" s="3" t="str">
        <x:v>Architecture view coverage</x:v>
      </x:c>
      <x:c r="B1" s="3"/>
      <x:c r="C1" s="3"/>
      <x:c r="D1" s="3"/>
      <x:c r="E1" s="3"/>
      <x:c r="F1" s="3"/>
      <x:c r="G1" s="3"/>
      <x:c r="H1" s="3"/>
    </x:row>
    <x:row r="2" ht="20" customHeight="1">
      <x:c r="A2" s="8" t="str">
        <x:v>Each view must identify components, connections, authority/failure boundaries and assumptions; link to a controlled diagram or table.</x:v>
      </x:c>
      <x:c r="B2" s="8"/>
      <x:c r="C2" s="8"/>
      <x:c r="D2" s="8"/>
      <x:c r="E2" s="8"/>
      <x:c r="F2" s="8"/>
      <x:c r="G2" s="8"/>
      <x:c r="H2" s="8"/>
    </x:row>
    <x:row r="3" ht="20" customHeight="1">
      <x:c r="A3" s="8"/>
      <x:c r="B3" s="8"/>
      <x:c r="C3" s="8"/>
      <x:c r="D3" s="8"/>
      <x:c r="E3" s="8"/>
      <x:c r="F3" s="8"/>
      <x:c r="G3" s="8"/>
      <x:c r="H3" s="8"/>
    </x:row>
    <x:row r="5" ht="32" customHeight="1">
      <x:c r="A5" s="19" t="str">
        <x:v>ID</x:v>
      </x:c>
      <x:c r="B5" s="19" t="str">
        <x:v>View</x:v>
      </x:c>
      <x:c r="C5" s="19" t="str">
        <x:v>Question answered</x:v>
      </x:c>
      <x:c r="D5" s="19" t="str">
        <x:v>Minimum contents</x:v>
      </x:c>
      <x:c r="E5" s="19" t="str">
        <x:v>Baseline</x:v>
      </x:c>
      <x:c r="F5" s="19" t="str">
        <x:v>Status</x:v>
      </x:c>
      <x:c r="G5" s="19" t="str">
        <x:v>Actual artifact / revision</x:v>
      </x:c>
      <x:c r="H5" s="19" t="str">
        <x:v>Reviewer</x:v>
      </x:c>
    </x:row>
    <x:row r="6" ht="38" customHeight="1">
      <x:c r="A6" s="14" t="str">
        <x:v>V01</x:v>
      </x:c>
      <x:c r="B6" s="14" t="str">
        <x:v>Context and service boundary</x:v>
      </x:c>
      <x:c r="C6" s="14" t="str">
        <x:v>What service is offered and who owns each external dependency?</x:v>
      </x:c>
      <x:c r="D6" s="14" t="str">
        <x:v>Sites, tenants, provider services, consumers, external authorities.</x:v>
      </x:c>
      <x:c r="E6" s="14" t="str">
        <x:v>RA §§1–4</x:v>
      </x:c>
      <x:c r="F6" s="22" t="str">
        <x:v>Not started</x:v>
      </x:c>
      <x:c r="G6" s="22" t="str"/>
      <x:c r="H6" s="22" t="str"/>
    </x:row>
    <x:row r="7" ht="38" customHeight="1">
      <x:c r="A7" s="14" t="str">
        <x:v>V02</x:v>
      </x:c>
      <x:c r="B7" s="14" t="str">
        <x:v>Physical deployment</x:v>
      </x:c>
      <x:c r="C7" s="14" t="str">
        <x:v>Where are the equipment, links, power and shared failure dependencies?</x:v>
      </x:c>
      <x:c r="D7" s="14" t="str">
        <x:v>Sites/racks, cells, OOB, host pools, storage, edges, control components.</x:v>
      </x:c>
      <x:c r="E7" s="14" t="str">
        <x:v>RA §§3–6</x:v>
      </x:c>
      <x:c r="F7" s="22" t="str">
        <x:v>Not started</x:v>
      </x:c>
      <x:c r="G7" s="22" t="str"/>
      <x:c r="H7" s="22" t="str"/>
    </x:row>
    <x:row r="8" ht="38" customHeight="1">
      <x:c r="A8" s="14" t="str">
        <x:v>V03</x:v>
      </x:c>
      <x:c r="B8" s="14" t="str">
        <x:v>Logical tenancy and security</x:v>
      </x:c>
      <x:c r="C8" s="14" t="str">
        <x:v>Which independent authorities and zones exist?</x:v>
      </x:c>
      <x:c r="D8" s="14" t="str">
        <x:v>Tenant/WSD/domain/instance/network, owner, sharing and trust transitions.</x:v>
      </x:c>
      <x:c r="E8" s="14" t="str">
        <x:v>RA §§7–8</x:v>
      </x:c>
      <x:c r="F8" s="22" t="str">
        <x:v>Not started</x:v>
      </x:c>
      <x:c r="G8" s="22" t="str"/>
      <x:c r="H8" s="22" t="str"/>
    </x:row>
    <x:row r="9" ht="48" customHeight="1">
      <x:c r="A9" s="14" t="str">
        <x:v>V04</x:v>
      </x:c>
      <x:c r="B9" s="14" t="str">
        <x:v>End-to-end forwarding and enforcement</x:v>
      </x:c>
      <x:c r="C9" s="14" t="str">
        <x:v>Where do request and reply travel and where are they enforced?</x:v>
      </x:c>
      <x:c r="D9" s="14" t="str">
        <x:v>Gateways, ZIPs, allowed prefixes, routes, NAT, policy and native bypass candidates.</x:v>
      </x:c>
      <x:c r="E9" s="14" t="str">
        <x:v>RA §§8–10; WD §§4–7</x:v>
      </x:c>
      <x:c r="F9" s="22" t="str">
        <x:v>Not started</x:v>
      </x:c>
      <x:c r="G9" s="22" t="str"/>
      <x:c r="H9" s="22" t="str"/>
    </x:row>
    <x:row r="10" ht="48" customHeight="1">
      <x:c r="A10" s="14" t="str">
        <x:v>V05</x:v>
      </x:c>
      <x:c r="B10" s="14" t="str">
        <x:v>Management and administrative authority</x:v>
      </x:c>
      <x:c r="C10" s="14" t="str">
        <x:v>Who can change each component and by which protected path?</x:v>
      </x:c>
      <x:c r="D10" s="14" t="str">
        <x:v>Privileged endpoint, management domain, roles, API/BMC, break-glass and logging.</x:v>
      </x:c>
      <x:c r="E10" s="14" t="str">
        <x:v>RA §6</x:v>
      </x:c>
      <x:c r="F10" s="22" t="str">
        <x:v>Not started</x:v>
      </x:c>
      <x:c r="G10" s="22" t="str"/>
      <x:c r="H10" s="22" t="str"/>
    </x:row>
    <x:row r="11" ht="48" customHeight="1">
      <x:c r="A11" s="14" t="str">
        <x:v>V06</x:v>
      </x:c>
      <x:c r="B11" s="14" t="str">
        <x:v>Compute and storage</x:v>
      </x:c>
      <x:c r="C11" s="14" t="str">
        <x:v>Which resources and copies share hardware/control and how is placement enforced?</x:v>
      </x:c>
      <x:c r="D11" s="14" t="str">
        <x:v>Pools, schedulers, virtual disks, file/object clients, copies, keys and protection.</x:v>
      </x:c>
      <x:c r="E11" s="14" t="str">
        <x:v>RA §§11–13</x:v>
      </x:c>
      <x:c r="F11" s="22" t="str">
        <x:v>Not started</x:v>
      </x:c>
      <x:c r="G11" s="22" t="str"/>
      <x:c r="H11" s="22" t="str"/>
    </x:row>
    <x:row r="12" ht="48" customHeight="1">
      <x:c r="A12" s="14" t="str">
        <x:v>V07</x:v>
      </x:c>
      <x:c r="B12" s="14" t="str">
        <x:v>Shared-service consumption</x:v>
      </x:c>
      <x:c r="C12" s="14" t="str">
        <x:v>What is the consumer allowed to do and how does the service reply?</x:v>
      </x:c>
      <x:c r="D12" s="14" t="str">
        <x:v>Service endpoint, client identity, return routes, backend authorization and admin plane.</x:v>
      </x:c>
      <x:c r="E12" s="14" t="str">
        <x:v>RA §9; SVC §§1–5</x:v>
      </x:c>
      <x:c r="F12" s="22" t="str">
        <x:v>Not started</x:v>
      </x:c>
      <x:c r="G12" s="22" t="str"/>
      <x:c r="H12" s="22" t="str"/>
    </x:row>
    <x:row r="13" ht="48" customHeight="1">
      <x:c r="A13" s="14" t="str">
        <x:v>V08</x:v>
      </x:c>
      <x:c r="B13" s="14" t="str">
        <x:v>Failure and recovery</x:v>
      </x:c>
      <x:c r="C13" s="14" t="str">
        <x:v>Which failures are covered and which dependencies must survive?</x:v>
      </x:c>
      <x:c r="D13" s="14" t="str">
        <x:v>Failure sets, quorum/fencing, independent trust, restored service scope and failback.</x:v>
      </x:c>
      <x:c r="E13" s="14" t="str">
        <x:v>RA §14; SVC §6</x:v>
      </x:c>
      <x:c r="F13" s="22" t="str">
        <x:v>Not started</x:v>
      </x:c>
      <x:c r="G13" s="22" t="str"/>
      <x:c r="H13" s="22" t="str"/>
    </x:row>
    <x:row r="14" ht="48" customHeight="1">
      <x:c r="A14" s="14" t="str">
        <x:v>V09</x:v>
      </x:c>
      <x:c r="B14" s="14" t="str">
        <x:v>Vendor realization</x:v>
      </x:c>
      <x:c r="C14" s="14" t="str">
        <x:v>Which native components realize the same requirements on each selected stack?</x:v>
      </x:c>
      <x:c r="D14" s="14" t="str">
        <x:v>Actual tuple, mechanisms, enforcement locations, support limits and alternatives.</x:v>
      </x:c>
      <x:c r="E14" s="14" t="str">
        <x:v>RA §§15–19</x:v>
      </x:c>
      <x:c r="F14" s="22" t="str">
        <x:v>Not started</x:v>
      </x:c>
      <x:c r="G14" s="22" t="str"/>
      <x:c r="H14" s="22" t="str"/>
    </x:row>
    <x:row r="15" ht="48" customHeight="1">
      <x:c r="A15" s="14" t="str">
        <x:v>V10</x:v>
      </x:c>
      <x:c r="B15" s="14" t="str">
        <x:v>Provisioning and lifecycle</x:v>
      </x:c>
      <x:c r="C15" s="14" t="str">
        <x:v>What is installed, allocated, changed and retired by each owner?</x:v>
      </x:c>
      <x:c r="D15" s="14" t="str">
        <x:v>P0–P6 resources, prerequisites, single-writer ownership, handoffs and safe stops.</x:v>
      </x:c>
      <x:c r="E15" s="14" t="str">
        <x:v>RA §§20–25</x:v>
      </x:c>
      <x:c r="F15" s="22" t="str">
        <x:v>Not started</x:v>
      </x:c>
      <x:c r="G15" s="22" t="str"/>
      <x:c r="H15" s="22" t="str"/>
    </x:row>
    <x:row r="16" ht="48" customHeight="1">
      <x:c r="A16" s="14" t="str">
        <x:v>V11</x:v>
      </x:c>
      <x:c r="B16" s="14" t="str">
        <x:v>Transition and operational model</x:v>
      </x:c>
      <x:c r="C16" s="14" t="str">
        <x:v>How does the current environment become and remain the target?</x:v>
      </x:c>
      <x:c r="D16" s="14" t="str">
        <x:v>Adoption waves, dependencies, capacity, operating responsibilities, exit and disposal.</x:v>
      </x:c>
      <x:c r="E16" s="14" t="str">
        <x:v>RA §§25–30</x:v>
      </x:c>
      <x:c r="F16" s="22" t="str">
        <x:v>Not started</x:v>
      </x:c>
      <x:c r="G16" s="22" t="str"/>
      <x:c r="H16" s="22" t="str"/>
    </x:row>
  </x:sheetData>
  <x:mergeCells>
    <x:mergeCell ref="A1:H1"/>
    <x:mergeCell ref="A2:H3"/>
  </x:mergeCells>
  <x:conditionalFormatting sqref="F6:F16">
    <x:cfRule type="expression" dxfId="6" priority="1">
      <x:formula>F6="Blocked"</x:formula>
    </x:cfRule>
    <x:cfRule type="expression" dxfId="7" priority="2">
      <x:formula>F6="Failed"</x:formula>
    </x:cfRule>
  </x:conditionalFormatting>
  <x:dataValidations count="1">
    <x:dataValidation type="list" sqref="F6:F16">
      <x:formula1>"Not started,In progress,Blocked,Ready for review,Accepted,Not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2075b58c3645e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48" hidden="0" customWidth="1"/>
    <x:col min="4" max="4" width="26" hidden="0" customWidth="1"/>
    <x:col min="5" max="5" width="30" hidden="0" customWidth="1"/>
    <x:col min="6" max="6" width="20" hidden="0" customWidth="1"/>
    <x:col min="7" max="7" width="40" hidden="0" customWidth="1"/>
    <x:col min="8" max="8" width="38" hidden="0" customWidth="1"/>
    <x:col min="9" max="9" width="32" hidden="0" customWidth="1"/>
  </x:cols>
  <x:sheetData>
    <x:row r="1" ht="30" customHeight="1">
      <x:c r="A1" s="3" t="str">
        <x:v>Architecture risk workshop prompts</x:v>
      </x:c>
      <x:c r="B1" s="3"/>
      <x:c r="C1" s="3"/>
      <x:c r="D1" s="3"/>
      <x:c r="E1" s="3"/>
      <x:c r="F1" s="3"/>
      <x:c r="G1" s="3"/>
      <x:c r="H1" s="3"/>
      <x:c r="I1" s="3"/>
    </x:row>
    <x:row r="2" ht="20" customHeight="1">
      <x:c r="A2" s="8" t="str">
        <x:v>PROPOSED THREAT PROMPTS • Not findings against a deployed system. Determine applicability, controls, likelihood/impact and residual acceptance locally.</x:v>
      </x:c>
      <x:c r="B2" s="8"/>
      <x:c r="C2" s="8"/>
      <x:c r="D2" s="8"/>
      <x:c r="E2" s="8"/>
      <x:c r="F2" s="8"/>
      <x:c r="G2" s="8"/>
      <x:c r="H2" s="8"/>
      <x:c r="I2" s="8"/>
    </x:row>
    <x:row r="3" ht="20" customHeight="1">
      <x:c r="A3" s="8"/>
      <x:c r="B3" s="8"/>
      <x:c r="C3" s="8"/>
      <x:c r="D3" s="8"/>
      <x:c r="E3" s="8"/>
      <x:c r="F3" s="8"/>
      <x:c r="G3" s="8"/>
      <x:c r="H3" s="8"/>
      <x:c r="I3" s="8"/>
    </x:row>
    <x:row r="5" ht="32" customHeight="1">
      <x:c r="A5" s="19" t="str">
        <x:v>ID</x:v>
      </x:c>
      <x:c r="B5" s="19" t="str">
        <x:v>Risk prompt</x:v>
      </x:c>
      <x:c r="C5" s="19" t="str">
        <x:v>Credible scenario</x:v>
      </x:c>
      <x:c r="D5" s="19" t="str">
        <x:v>Owner role</x:v>
      </x:c>
      <x:c r="E5" s="19" t="str">
        <x:v>Baseline</x:v>
      </x:c>
      <x:c r="F5" s="19" t="str">
        <x:v>Actual applicability</x:v>
      </x:c>
      <x:c r="G5" s="19" t="str">
        <x:v>Selected controls</x:v>
      </x:c>
      <x:c r="H5" s="19" t="str">
        <x:v>Residual risk / decision</x:v>
      </x:c>
      <x:c r="I5" s="19" t="str">
        <x:v>Evidence / review</x:v>
      </x:c>
    </x:row>
    <x:row r="6" ht="38" customHeight="1">
      <x:c r="A6" s="14" t="str">
        <x:v>R-01</x:v>
      </x:c>
      <x:c r="B6" s="14" t="str">
        <x:v>Native inter-domain routing bypass</x:v>
      </x:c>
      <x:c r="C6" s="14" t="str">
        <x:v>Connected, distributed or more-specific routes can avoid the selected ZIP.</x:v>
      </x:c>
      <x:c r="D6" s="14" t="str">
        <x:v>Network/security</x:v>
      </x:c>
      <x:c r="E6" s="14" t="str">
        <x:v>RA §§8,16–18; WD §6</x:v>
      </x:c>
      <x:c r="F6" s="22" t="str">
        <x:v>Unresolved</x:v>
      </x:c>
      <x:c r="G6" s="22" t="str"/>
      <x:c r="H6" s="22" t="str"/>
      <x:c r="I6" s="22" t="str"/>
    </x:row>
    <x:row r="7" ht="38" customHeight="1">
      <x:c r="A7" s="14" t="str">
        <x:v>R-02</x:v>
      </x:c>
      <x:c r="B7" s="14" t="str">
        <x:v>Shared service becomes transit</x:v>
      </x:c>
      <x:c r="C7" s="14" t="str">
        <x:v>Service forwarding, broad return routes or overbroad entitlement exposes other scopes.</x:v>
      </x:c>
      <x:c r="D7" s="14" t="str">
        <x:v>Service/security</x:v>
      </x:c>
      <x:c r="E7" s="14" t="str">
        <x:v>WD §§2,6–7</x:v>
      </x:c>
      <x:c r="F7" s="22" t="str">
        <x:v>Unresolved</x:v>
      </x:c>
      <x:c r="G7" s="22" t="str"/>
      <x:c r="H7" s="22" t="str"/>
      <x:c r="I7" s="22" t="str"/>
    </x:row>
    <x:row r="8" ht="38" customHeight="1">
      <x:c r="A8" s="14" t="str">
        <x:v>R-03</x:v>
      </x:c>
      <x:c r="B8" s="14" t="str">
        <x:v>Compromised privileged executor</x:v>
      </x:c>
      <x:c r="C8" s="14" t="str">
        <x:v>One execution identity spans independent foundations and tenants.</x:v>
      </x:c>
      <x:c r="D8" s="14" t="str">
        <x:v>Identity/automation</x:v>
      </x:c>
      <x:c r="E8" s="14" t="str">
        <x:v>RA §§6,20,24</x:v>
      </x:c>
      <x:c r="F8" s="22" t="str">
        <x:v>Unresolved</x:v>
      </x:c>
      <x:c r="G8" s="22" t="str"/>
      <x:c r="H8" s="22" t="str"/>
      <x:c r="I8" s="22" t="str"/>
    </x:row>
    <x:row r="9" ht="38" customHeight="1">
      <x:c r="A9" s="14" t="str">
        <x:v>R-04</x:v>
      </x:c>
      <x:c r="B9" s="14" t="str">
        <x:v>Co-residency differs after restart</x:v>
      </x:c>
      <x:c r="C9" s="14" t="str">
        <x:v>Scheduler, evacuation or recovery moves a workload outside approved eligibility.</x:v>
      </x:c>
      <x:c r="D9" s="14" t="str">
        <x:v>Platform/security</x:v>
      </x:c>
      <x:c r="E9" s="14" t="str">
        <x:v>RA §§7,11; WD §12</x:v>
      </x:c>
      <x:c r="F9" s="22" t="str">
        <x:v>Unresolved</x:v>
      </x:c>
      <x:c r="G9" s="22" t="str"/>
      <x:c r="H9" s="22" t="str"/>
      <x:c r="I9" s="22" t="str"/>
    </x:row>
    <x:row r="10" ht="38" customHeight="1">
      <x:c r="A10" s="14" t="str">
        <x:v>R-05</x:v>
      </x:c>
      <x:c r="B10" s="14" t="str">
        <x:v>Shared storage/controller compromise</x:v>
      </x:c>
      <x:c r="C10" s="14" t="str">
        <x:v>Logical VM placement conceals controller, data, key or management sharing.</x:v>
      </x:c>
      <x:c r="D10" s="14" t="str">
        <x:v>Storage/platform</x:v>
      </x:c>
      <x:c r="E10" s="14" t="str">
        <x:v>RA §§11–13</x:v>
      </x:c>
      <x:c r="F10" s="22" t="str">
        <x:v>Unresolved</x:v>
      </x:c>
      <x:c r="G10" s="22" t="str"/>
      <x:c r="H10" s="22" t="str"/>
      <x:c r="I10" s="22" t="str"/>
    </x:row>
    <x:row r="11" ht="48" customHeight="1">
      <x:c r="A11" s="14" t="str">
        <x:v>R-06</x:v>
      </x:c>
      <x:c r="B11" s="14" t="str">
        <x:v>Recovery dependency cycle</x:v>
      </x:c>
      <x:c r="C11" s="14" t="str">
        <x:v>Keys, catalogue, source or identity needed for recovery exist only on the failed platform.</x:v>
      </x:c>
      <x:c r="D11" s="14" t="str">
        <x:v>Recovery/trust</x:v>
      </x:c>
      <x:c r="E11" s="14" t="str">
        <x:v>RA §§13–14; SVC §6</x:v>
      </x:c>
      <x:c r="F11" s="22" t="str">
        <x:v>Unresolved</x:v>
      </x:c>
      <x:c r="G11" s="22" t="str"/>
      <x:c r="H11" s="22" t="str"/>
      <x:c r="I11" s="22" t="str"/>
    </x:row>
    <x:row r="12" ht="38" customHeight="1">
      <x:c r="A12" s="14" t="str">
        <x:v>R-07</x:v>
      </x:c>
      <x:c r="B12" s="14" t="str">
        <x:v>Unsupported native combination</x:v>
      </x:c>
      <x:c r="C12" s="14" t="str">
        <x:v>Product features, gateway modes, versions or entitlements are assumed compatible.</x:v>
      </x:c>
      <x:c r="D12" s="14" t="str">
        <x:v>Platform engineering</x:v>
      </x:c>
      <x:c r="E12" s="14" t="str">
        <x:v>VND §7; KIT-TN-01</x:v>
      </x:c>
      <x:c r="F12" s="22" t="str">
        <x:v>Unresolved</x:v>
      </x:c>
      <x:c r="G12" s="22" t="str"/>
      <x:c r="H12" s="22" t="str"/>
      <x:c r="I12" s="22" t="str"/>
    </x:row>
    <x:row r="13" ht="38" customHeight="1">
      <x:c r="A13" s="14" t="str">
        <x:v>R-08</x:v>
      </x:c>
      <x:c r="B13" s="14" t="str">
        <x:v>Hidden family or MTU gap</x:v>
      </x:c>
      <x:c r="C13" s="14" t="str">
        <x:v>IPv6, local protocols or surviving transport differs from the tested path.</x:v>
      </x:c>
      <x:c r="D13" s="14" t="str">
        <x:v>Network engineering</x:v>
      </x:c>
      <x:c r="E13" s="14" t="str">
        <x:v>NET §§3–4; WD §11</x:v>
      </x:c>
      <x:c r="F13" s="22" t="str">
        <x:v>Unresolved</x:v>
      </x:c>
      <x:c r="G13" s="22" t="str"/>
      <x:c r="H13" s="22" t="str"/>
      <x:c r="I13" s="22" t="str"/>
    </x:row>
    <x:row r="14" ht="38" customHeight="1">
      <x:c r="A14" s="14" t="str">
        <x:v>R-09</x:v>
      </x:c>
      <x:c r="B14" s="14" t="str">
        <x:v>Late task or competing writer</x:v>
      </x:c>
      <x:c r="C14" s="14" t="str">
        <x:v>A timed-out native task later changes resources managed by a new executor.</x:v>
      </x:c>
      <x:c r="D14" s="14" t="str">
        <x:v>Implementation</x:v>
      </x:c>
      <x:c r="E14" s="14" t="str">
        <x:v>PROV §5; WD §10</x:v>
      </x:c>
      <x:c r="F14" s="22" t="str">
        <x:v>Unresolved</x:v>
      </x:c>
      <x:c r="G14" s="22" t="str"/>
      <x:c r="H14" s="22" t="str"/>
      <x:c r="I14" s="22" t="str"/>
    </x:row>
    <x:row r="15" ht="38" customHeight="1">
      <x:c r="A15" s="14" t="str">
        <x:v>R-10</x:v>
      </x:c>
      <x:c r="B15" s="14" t="str">
        <x:v>Evidence does not match scope</x:v>
      </x:c>
      <x:c r="C15" s="14" t="str">
        <x:v>Stale results, dead endpoints or unsupported N/A disposition appear as conformance.</x:v>
      </x:c>
      <x:c r="D15" s="14" t="str">
        <x:v>Assurance</x:v>
      </x:c>
      <x:c r="E15" s="14" t="str">
        <x:v>QUAL §5; WD §13</x:v>
      </x:c>
      <x:c r="F15" s="22" t="str">
        <x:v>Unresolved</x:v>
      </x:c>
      <x:c r="G15" s="22" t="str"/>
      <x:c r="H15" s="22" t="str"/>
      <x:c r="I15" s="22" t="str"/>
    </x:row>
    <x:row r="16" ht="38" customHeight="1">
      <x:c r="A16" s="14" t="str">
        <x:v>R-11</x:v>
      </x:c>
      <x:c r="B16" s="14" t="str">
        <x:v>Capacity promise lacks survivor headroom</x:v>
      </x:c>
      <x:c r="C16" s="14" t="str">
        <x:v>Compute can fit while inspected edge, storage rebuild or service dependencies cannot.</x:v>
      </x:c>
      <x:c r="D16" s="14" t="str">
        <x:v>Capacity owner</x:v>
      </x:c>
      <x:c r="E16" s="14" t="str">
        <x:v>QUAL §3; WD §11</x:v>
      </x:c>
      <x:c r="F16" s="22" t="str">
        <x:v>Unresolved</x:v>
      </x:c>
      <x:c r="G16" s="22" t="str"/>
      <x:c r="H16" s="22" t="str"/>
      <x:c r="I16" s="22" t="str"/>
    </x:row>
    <x:row r="17" ht="38" customHeight="1">
      <x:c r="A17" s="14" t="str">
        <x:v>R-12</x:v>
      </x:c>
      <x:c r="B17" s="14" t="str">
        <x:v>Retirement destroys required copy or key</x:v>
      </x:c>
      <x:c r="C17" s="14" t="str">
        <x:v>Live workload deletion is confused with final data disposition.</x:v>
      </x:c>
      <x:c r="D17" s="14" t="str">
        <x:v>Data/backup</x:v>
      </x:c>
      <x:c r="E17" s="14" t="str">
        <x:v>RA §27; WD §12</x:v>
      </x:c>
      <x:c r="F17" s="22" t="str">
        <x:v>Unresolved</x:v>
      </x:c>
      <x:c r="G17" s="22" t="str"/>
      <x:c r="H17" s="22" t="str"/>
      <x:c r="I17" s="22" t="str"/>
    </x:row>
    <x:row r="18" ht="38" customHeight="1">
      <x:c r="A18" s="14" t="str">
        <x:v>R-13</x:v>
      </x:c>
      <x:c r="B18" s="14" t="str">
        <x:v>Supply or support access compromise</x:v>
      </x:c>
      <x:c r="C18" s="14" t="str">
        <x:v>Update artifacts, vendor sessions or diagnostics leave the approved trust boundary.</x:v>
      </x:c>
      <x:c r="D18" s="14" t="str">
        <x:v>Platform/security</x:v>
      </x:c>
      <x:c r="E18" s="14" t="str">
        <x:v>RA §§13,25–26</x:v>
      </x:c>
      <x:c r="F18" s="22" t="str">
        <x:v>Unresolved</x:v>
      </x:c>
      <x:c r="G18" s="22" t="str"/>
      <x:c r="H18" s="22" t="str"/>
      <x:c r="I18" s="22" t="str"/>
    </x:row>
    <x:row r="19" ht="38" customHeight="1">
      <x:c r="A19" s="14" t="str">
        <x:v>R-14</x:v>
      </x:c>
      <x:c r="B19" s="14" t="str">
        <x:v>Operational readiness deferred</x:v>
      </x:c>
      <x:c r="C19" s="14" t="str">
        <x:v>Production activates before accepted owners, restore proof or applicable authority.</x:v>
      </x:c>
      <x:c r="D19" s="14" t="str">
        <x:v>Service owner</x:v>
      </x:c>
      <x:c r="E19" s="14" t="str">
        <x:v>WD §9</x:v>
      </x:c>
      <x:c r="F19" s="22" t="str">
        <x:v>Unresolved</x:v>
      </x:c>
      <x:c r="G19" s="22" t="str"/>
      <x:c r="H19" s="22" t="str"/>
      <x:c r="I19" s="22" t="str"/>
    </x:row>
  </x:sheetData>
  <x:mergeCells>
    <x:mergeCell ref="A1:I1"/>
    <x:mergeCell ref="A2:I3"/>
  </x:mergeCells>
  <x:conditionalFormatting sqref="F6:F19">
    <x:cfRule type="expression" dxfId="8" priority="1">
      <x:formula>F6="Blocked"</x:formula>
    </x:cfRule>
    <x:cfRule type="expression" dxfId="9" priority="2">
      <x:formula>F6="Failed"</x:formula>
    </x:cfRule>
  </x:conditionalFormatting>
  <x:dataValidations count="1">
    <x:dataValidation type="list" sqref="F6:F19">
      <x:formula1>"Unresolved,Applicable,Not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c33c4928ba40a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30" hidden="0" customWidth="1"/>
    <x:col min="4" max="4" width="34" hidden="0" customWidth="1"/>
    <x:col min="5" max="5" width="26" hidden="0" customWidth="1"/>
    <x:col min="6" max="6" width="24" hidden="0" customWidth="1"/>
    <x:col min="7" max="7" width="32" hidden="0" customWidth="1"/>
    <x:col min="8" max="8" width="38" hidden="0" customWidth="1"/>
    <x:col min="9" max="9" width="40" hidden="0" customWidth="1"/>
  </x:cols>
  <x:sheetData>
    <x:row r="1" ht="30" customHeight="1">
      <x:c r="A1" s="3" t="str">
        <x:v>Selected-control and inheritance record</x:v>
      </x:c>
      <x:c r="B1" s="3"/>
      <x:c r="C1" s="3"/>
      <x:c r="D1" s="3"/>
      <x:c r="E1" s="3"/>
      <x:c r="F1" s="3"/>
      <x:c r="G1" s="3"/>
      <x:c r="H1" s="3"/>
      <x:c r="I1" s="3"/>
    </x:row>
    <x:row r="2" ht="20" customHeight="1">
      <x:c r="A2" s="8" t="str">
        <x:v>Do not treat control-family mapping as assessment. Enter the exact adopted catalogue edition, control/enhancement, parameters and accepted evidence.</x:v>
      </x:c>
      <x:c r="B2" s="8"/>
      <x:c r="C2" s="8"/>
      <x:c r="D2" s="8"/>
      <x:c r="E2" s="8"/>
      <x:c r="F2" s="8"/>
      <x:c r="G2" s="8"/>
      <x:c r="H2" s="8"/>
      <x:c r="I2" s="8"/>
    </x:row>
    <x:row r="3" ht="20" customHeight="1">
      <x:c r="A3" s="8"/>
      <x:c r="B3" s="8"/>
      <x:c r="C3" s="8"/>
      <x:c r="D3" s="8"/>
      <x:c r="E3" s="8"/>
      <x:c r="F3" s="8"/>
      <x:c r="G3" s="8"/>
      <x:c r="H3" s="8"/>
      <x:c r="I3" s="8"/>
    </x:row>
    <x:row r="5" ht="32" customHeight="1">
      <x:c r="A5" s="19" t="str">
        <x:v>Area</x:v>
      </x:c>
      <x:c r="B5" s="19" t="str">
        <x:v>Catalogue / edition</x:v>
      </x:c>
      <x:c r="C5" s="19" t="str">
        <x:v>Selected control / enhancement</x:v>
      </x:c>
      <x:c r="D5" s="19" t="str">
        <x:v>Parameters</x:v>
      </x:c>
      <x:c r="E5" s="19" t="str">
        <x:v>Provider / tenant / shared</x:v>
      </x:c>
      <x:c r="F5" s="19" t="str">
        <x:v>Actual owner</x:v>
      </x:c>
      <x:c r="G5" s="19" t="str">
        <x:v>Implementation home</x:v>
      </x:c>
      <x:c r="H5" s="19" t="str">
        <x:v>Inherited scope / source</x:v>
      </x:c>
      <x:c r="I5" s="19" t="str">
        <x:v>Evidence / assessor disposition</x:v>
      </x:c>
    </x:row>
    <x:row r="6" ht="38" customHeight="1">
      <x:c r="A6" s="14" t="str">
        <x:v>Network/zone boundary</x:v>
      </x:c>
      <x:c r="B6" s="22" t="str"/>
      <x:c r="C6" s="22" t="str"/>
      <x:c r="D6" s="22" t="str"/>
      <x:c r="E6" s="22" t="str">
        <x:v>Unresolved</x:v>
      </x:c>
      <x:c r="F6" s="22" t="str"/>
      <x:c r="G6" s="22" t="str"/>
      <x:c r="H6" s="22" t="str"/>
      <x:c r="I6" s="22" t="str"/>
    </x:row>
    <x:row r="7" ht="38" customHeight="1">
      <x:c r="A7" s="14" t="str">
        <x:v>Tenant/admin access</x:v>
      </x:c>
      <x:c r="B7" s="22" t="str"/>
      <x:c r="C7" s="22" t="str"/>
      <x:c r="D7" s="22" t="str"/>
      <x:c r="E7" s="22" t="str">
        <x:v>Unresolved</x:v>
      </x:c>
      <x:c r="F7" s="22" t="str"/>
      <x:c r="G7" s="22" t="str"/>
      <x:c r="H7" s="22" t="str"/>
      <x:c r="I7" s="22" t="str"/>
    </x:row>
    <x:row r="8" ht="38" customHeight="1">
      <x:c r="A8" s="14" t="str">
        <x:v>Privileged management</x:v>
      </x:c>
      <x:c r="B8" s="22" t="str"/>
      <x:c r="C8" s="22" t="str"/>
      <x:c r="D8" s="22" t="str"/>
      <x:c r="E8" s="22" t="str">
        <x:v>Unresolved</x:v>
      </x:c>
      <x:c r="F8" s="22" t="str"/>
      <x:c r="G8" s="22" t="str"/>
      <x:c r="H8" s="22" t="str"/>
      <x:c r="I8" s="22" t="str"/>
    </x:row>
    <x:row r="9" ht="38" customHeight="1">
      <x:c r="A9" s="14" t="str">
        <x:v>Compute/firmware</x:v>
      </x:c>
      <x:c r="B9" s="22" t="str"/>
      <x:c r="C9" s="22" t="str"/>
      <x:c r="D9" s="22" t="str"/>
      <x:c r="E9" s="22" t="str">
        <x:v>Unresolved</x:v>
      </x:c>
      <x:c r="F9" s="22" t="str"/>
      <x:c r="G9" s="22" t="str"/>
      <x:c r="H9" s="22" t="str"/>
      <x:c r="I9" s="22" t="str"/>
    </x:row>
    <x:row r="10" ht="38" customHeight="1">
      <x:c r="A10" s="14" t="str">
        <x:v>Storage/copy isolation</x:v>
      </x:c>
      <x:c r="B10" s="22" t="str"/>
      <x:c r="C10" s="22" t="str"/>
      <x:c r="D10" s="22" t="str"/>
      <x:c r="E10" s="22" t="str">
        <x:v>Unresolved</x:v>
      </x:c>
      <x:c r="F10" s="22" t="str"/>
      <x:c r="G10" s="22" t="str"/>
      <x:c r="H10" s="22" t="str"/>
      <x:c r="I10" s="22" t="str"/>
    </x:row>
    <x:row r="11" ht="38" customHeight="1">
      <x:c r="A11" s="14" t="str">
        <x:v>Cryptography/key custody</x:v>
      </x:c>
      <x:c r="B11" s="22" t="str"/>
      <x:c r="C11" s="22" t="str"/>
      <x:c r="D11" s="22" t="str"/>
      <x:c r="E11" s="22" t="str">
        <x:v>Unresolved</x:v>
      </x:c>
      <x:c r="F11" s="22" t="str"/>
      <x:c r="G11" s="22" t="str"/>
      <x:c r="H11" s="22" t="str"/>
      <x:c r="I11" s="22" t="str"/>
    </x:row>
    <x:row r="12" ht="38" customHeight="1">
      <x:c r="A12" s="14" t="str">
        <x:v>Backup/recovery</x:v>
      </x:c>
      <x:c r="B12" s="22" t="str"/>
      <x:c r="C12" s="22" t="str"/>
      <x:c r="D12" s="22" t="str"/>
      <x:c r="E12" s="22" t="str">
        <x:v>Unresolved</x:v>
      </x:c>
      <x:c r="F12" s="22" t="str"/>
      <x:c r="G12" s="22" t="str"/>
      <x:c r="H12" s="22" t="str"/>
      <x:c r="I12" s="22" t="str"/>
    </x:row>
    <x:row r="13" ht="38" customHeight="1">
      <x:c r="A13" s="14" t="str">
        <x:v>Logging/time</x:v>
      </x:c>
      <x:c r="B13" s="22" t="str"/>
      <x:c r="C13" s="22" t="str"/>
      <x:c r="D13" s="22" t="str"/>
      <x:c r="E13" s="22" t="str">
        <x:v>Unresolved</x:v>
      </x:c>
      <x:c r="F13" s="22" t="str"/>
      <x:c r="G13" s="22" t="str"/>
      <x:c r="H13" s="22" t="str"/>
      <x:c r="I13" s="22" t="str"/>
    </x:row>
    <x:row r="14" ht="38" customHeight="1">
      <x:c r="A14" s="14" t="str">
        <x:v>Vulnerability/change</x:v>
      </x:c>
      <x:c r="B14" s="22" t="str"/>
      <x:c r="C14" s="22" t="str"/>
      <x:c r="D14" s="22" t="str"/>
      <x:c r="E14" s="22" t="str">
        <x:v>Unresolved</x:v>
      </x:c>
      <x:c r="F14" s="22" t="str"/>
      <x:c r="G14" s="22" t="str"/>
      <x:c r="H14" s="22" t="str"/>
      <x:c r="I14" s="22" t="str"/>
    </x:row>
    <x:row r="15" ht="38" customHeight="1">
      <x:c r="A15" s="14" t="str">
        <x:v>Facility/personnel/support</x:v>
      </x:c>
      <x:c r="B15" s="22" t="str"/>
      <x:c r="C15" s="22" t="str"/>
      <x:c r="D15" s="22" t="str"/>
      <x:c r="E15" s="22" t="str">
        <x:v>Unresolved</x:v>
      </x:c>
      <x:c r="F15" s="22" t="str"/>
      <x:c r="G15" s="22" t="str"/>
      <x:c r="H15" s="22" t="str"/>
      <x:c r="I15" s="22" t="str"/>
    </x:row>
  </x:sheetData>
  <x:mergeCells>
    <x:mergeCell ref="A1:I1"/>
    <x:mergeCell ref="A2:I3"/>
  </x:mergeCells>
  <x:conditionalFormatting sqref="E6:E15">
    <x:cfRule type="expression" dxfId="10" priority="1">
      <x:formula>E6="Blocked"</x:formula>
    </x:cfRule>
    <x:cfRule type="expression" dxfId="11" priority="2">
      <x:formula>E6="Failed"</x:formula>
    </x:cfRule>
  </x:conditionalFormatting>
  <x:dataValidations count="1">
    <x:dataValidation type="list" sqref="E6:E15">
      <x:formula1>"Unresolved,Provider,Tenant,Shared,Inherited,Not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24125a6b144cd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60" hidden="0" customWidth="1"/>
    <x:col min="4" max="4" width="55" hidden="0" customWidth="1"/>
  </x:cols>
  <x:sheetData>
    <x:row r="1" ht="30" customHeight="1">
      <x:c r="A1" s="3" t="str">
        <x:v>Primary mechanism context and baseline</x:v>
      </x:c>
      <x:c r="B1" s="3"/>
      <x:c r="C1" s="3"/>
      <x:c r="D1" s="3"/>
    </x:row>
    <x:row r="2" ht="20" customHeight="1">
      <x:c r="A2" s="8" t="str">
        <x:v>External references support scoped mechanism checks, not installed qualification. Date checked: 16 September 2026. Frozen baseline references live in 05_Reference_v1_4.</x:v>
      </x:c>
      <x:c r="B2" s="8"/>
      <x:c r="C2" s="8"/>
      <x:c r="D2" s="8"/>
    </x:row>
    <x:row r="3" ht="20" customHeight="1">
      <x:c r="A3" s="8"/>
      <x:c r="B3" s="8"/>
      <x:c r="C3" s="8"/>
      <x:c r="D3" s="8"/>
    </x:row>
    <x:row r="5" ht="32" customHeight="1">
      <x:c r="A5" s="19" t="str">
        <x:v>ID</x:v>
      </x:c>
      <x:c r="B5" s="19" t="str">
        <x:v>Title</x:v>
      </x:c>
      <x:c r="C5" s="19" t="str">
        <x:v>URL</x:v>
      </x:c>
      <x:c r="D5" s="19" t="str">
        <x:v>Review scope</x:v>
      </x:c>
    </x:row>
    <x:row r="6" ht="48" customHeight="1">
      <x:c r="A6" s="14" t="str">
        <x:v>K01</x:v>
      </x:c>
      <x:c r="B6" s="14" t="str">
        <x:v>Cloud network security zones (ITSP.80.023)</x:v>
      </x:c>
      <x:c r="C6" s="14" t="str">
        <x:v>https://www.cyber.gc.ca/en/guidance/cloud-network-security-zones-itsp80023</x:v>
      </x:c>
      <x:c r="D6" s="14" t="str">
        <x:v>Reviewed sections 1–4; supports scoped cloud-zoning and management considerations, not authorization. Reviewed 2026-09-16.</x:v>
      </x:c>
    </x:row>
    <x:row r="7" ht="48" customHeight="1">
      <x:c r="A7" s="14" t="str">
        <x:v>K02</x:v>
      </x:c>
      <x:c r="B7" s="14" t="str">
        <x:v>ITSP.10.033 foreword, overview and introduction</x:v>
      </x:c>
      <x:c r="C7" s="14" t="str">
        <x:v>https://www.cyber.gc.ca/en/guidance/cyber-security-privacy-risk-management/itsp10033/foreword-overview-introduction</x:v>
      </x:c>
      <x:c r="D7" s="14" t="str">
        <x:v>Reviewed supersession statement; preserve exact control edition rather than silently joining legacy IDs. Reviewed 2026-09-16.</x:v>
      </x:c>
    </x:row>
    <x:row r="8" ht="48" customHeight="1">
      <x:c r="A8" s="14" t="str">
        <x:v>K03</x:v>
      </x:c>
      <x:c r="B8" s="14" t="str">
        <x:v>Terraform providers within modules</x:v>
      </x:c>
      <x:c r="C8" s="14" t="str">
        <x:v>https://developer.hashicorp.com/terraform/language/modules/develop/providers</x:v>
      </x:c>
      <x:c r="D8" s="14" t="str">
        <x:v>Reviewed provider configuration and module boundaries; actual provider support remains environment-specific. Reviewed 2026-09-16.</x:v>
      </x:c>
    </x:row>
    <x:row r="9" ht="48" customHeight="1">
      <x:c r="A9" s="14" t="str">
        <x:v>K04</x:v>
      </x:c>
      <x:c r="B9" s="14" t="str">
        <x:v>Terraform dependency lock file</x:v>
      </x:c>
      <x:c r="C9" s="14" t="str">
        <x:v>https://developer.hashicorp.com/terraform/language/files/dependency-lock</x:v>
      </x:c>
      <x:c r="D9" s="14" t="str">
        <x:v>Reviewed distinction between provider dependency locks and remote module selections. Reviewed 2026-09-16.</x:v>
      </x:c>
    </x:row>
    <x:row r="10" ht="48" customHeight="1">
      <x:c r="A10" s="14" t="str">
        <x:v>K05</x:v>
      </x:c>
      <x:c r="B10" s="14" t="str">
        <x:v>Official Nutanix Terraform provider repository</x:v>
      </x:c>
      <x:c r="C10" s="14" t="str">
        <x:v>https://github.com/nutanix/terraform-provider-nutanix</x:v>
      </x:c>
      <x:c r="D10" s="14" t="str">
        <x:v>Reviewed README compatibility, feature and lifecycle notes; no provider version selected for a site. Reviewed 2026-09-16.</x:v>
      </x:c>
    </x:row>
    <x:row r="11" ht="48" customHeight="1">
      <x:c r="A11" s="14" t="str">
        <x:v>K06</x:v>
      </x:c>
      <x:c r="B11" s="14" t="str">
        <x:v>OpenStack Neutron networking concepts</x:v>
      </x:c>
      <x:c r="C11" s="14" t="str">
        <x:v>https://docs.openstack.org/neutron/latest/admin/intro-os-networking.html</x:v>
      </x:c>
      <x:c r="D11" s="14" t="str">
        <x:v>Reviewed security-group/port concepts; latest documentation is a development branch, not a production pin. Reviewed 2026-09-16.</x:v>
      </x:c>
    </x:row>
    <x:row r="12" ht="48" customHeight="1">
      <x:c r="A12" s="14" t="str">
        <x:v>K07</x:v>
      </x:c>
      <x:c r="B12" s="14" t="str">
        <x:v>OpenStack OVN reference architecture</x:v>
      </x:c>
      <x:c r="C12" s="14" t="str">
        <x:v>https://docs.openstack.org/neutron/latest/admin/ovn/refarch/refarch.html</x:v>
      </x:c>
      <x:c r="D12" s="14" t="str">
        <x:v>Reviewed role and routing model; selected distribution/backend must be independently qualified. Reviewed 2026-09-16.</x:v>
      </x:c>
    </x:row>
    <x:row r="13" ht="48" customHeight="1">
      <x:c r="A13" s="14" t="str">
        <x:v>K08</x:v>
      </x:c>
      <x:c r="B13" s="14" t="str">
        <x:v>OpenStack Nova host aggregates</x:v>
      </x:c>
      <x:c r="C13" s="14" t="str">
        <x:v>https://docs.openstack.org/nova/latest/admin/aggregates.html</x:v>
      </x:c>
      <x:c r="D13" s="14" t="str">
        <x:v>Reviewed scheduling/aggregate controls; labels alone do not establish placement enforcement. Reviewed 2026-09-16.</x:v>
      </x:c>
    </x:row>
    <x:row r="14" ht="61" customHeight="1">
      <x:c r="A14" s="14" t="str">
        <x:v>K09</x:v>
      </x:c>
      <x:c r="B14" s="14" t="str">
        <x:v>Broadcom KB 442835 — Tier-0 VRF and active-active stateful HA</x:v>
      </x:c>
      <x:c r="C14" s="14" t="str">
        <x:v>https://knowledge.broadcom.com/external/article/442835/cannot-add-tier0-vrf-gateway-to-a-tier0.html</x:v>
      </x:c>
      <x:c r="D14" s="14" t="str">
        <x:v>Official KB reviewed; explicit design limitation warrants a tuple-specific engineering check, not a production reconfiguration instruction. Reviewed 2026-09-16.</x:v>
      </x:c>
    </x:row>
    <x:row r="15" ht="48" customHeight="1">
      <x:c r="A15" s="14" t="str">
        <x:v>K10</x:v>
      </x:c>
      <x:c r="B15" s="14" t="str">
        <x:v>Guidance on securely configuring network protocols (ITSP.40.062)</x:v>
      </x:c>
      <x:c r="C15" s="14" t="str">
        <x:v>https://www.cyber.gc.ca/en/guidance/guidance-securely-configuring-network-protocols-itsp40062</x:v>
      </x:c>
      <x:c r="D15" s="14" t="str">
        <x:v>Reviewed protocol-configuration scope; approved site configurations remain required. Reviewed 2026-09-16.</x:v>
      </x:c>
    </x:row>
    <x:row r="16" ht="48" customHeight="1">
      <x:c r="A16" s="14" t="str">
        <x:v>K11</x:v>
      </x:c>
      <x:c r="B16" s="14" t="str">
        <x:v>Terraform plan command reference</x:v>
      </x:c>
      <x:c r="C16" s="14" t="str">
        <x:v>https://developer.hashicorp.com/terraform/cli/commands/plan</x:v>
      </x:c>
      <x:c r="D16" s="14" t="str">
        <x:v>Reviewed saved-plan handling; plan outputs can contain sensitive infrastructure values. Reviewed 2026-09-16.</x:v>
      </x:c>
    </x:row>
  </x:sheetData>
  <x:mergeCells>
    <x:mergeCell ref="A1:D1"/>
    <x:mergeCell ref="A2:D3"/>
  </x:mergeCells>
  <x:pageMargins left="0.7" right="0.7" top="0.75" bottom="0.75" header="0.3" footer="0.3"/>
  <x:tableParts count="1">
    <x:tablePart xmlns:r="http://schemas.openxmlformats.org/officeDocument/2006/relationships" r:id="R6b68e4d4fc03411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4" customHeight="1">
      <x:c r="A1" s="24" t="str">
        <x:v>ARCHITECTURE KIT | WORKING REGISTERS</x:v>
      </x:c>
      <x:c r="B1" s="24"/>
      <x:c r="C1" s="24"/>
      <x:c r="D1" s="24"/>
      <x:c r="E1" s="24"/>
      <x:c r="F1" s="24"/>
      <x:c r="G1" s="24"/>
      <x:c r="H1" s="24"/>
    </x:row>
    <x:row r="2" ht="25" customHeight="1">
      <x:c r="A2" s="28" t="str">
        <x:v>Create one controlled project copy. Teal cells accept project decisions; inherited text and examples are reference material. Dashboard counts never issue an approval.</x:v>
      </x:c>
      <x:c r="B2" s="28"/>
      <x:c r="C2" s="28"/>
      <x:c r="D2" s="28"/>
      <x:c r="E2" s="28"/>
      <x:c r="F2" s="28"/>
      <x:c r="G2" s="28"/>
      <x:c r="H2" s="28"/>
    </x:row>
    <x:row r="3" ht="25" customHeight="1">
      <x:c r="A3" s="28"/>
      <x:c r="B3" s="28"/>
      <x:c r="C3" s="28"/>
      <x:c r="D3" s="28"/>
      <x:c r="E3" s="28"/>
      <x:c r="F3" s="28"/>
      <x:c r="G3" s="28"/>
      <x:c r="H3" s="28"/>
    </x:row>
    <x:row r="5" ht="28" customHeight="1">
      <x:c r="A5" s="38" t="str">
        <x:v>Architecture deliverables</x:v>
      </x:c>
      <x:c r="B5" s="38"/>
      <x:c r="C5" s="38"/>
      <x:c r="D5" s="38"/>
      <x:c r="E5" s="39" t="n">
        <x:f>COUNTA(Deliverables!A6:A13)</x:f>
        <x:v>8</x:v>
      </x:c>
      <x:c r="F5" s="39"/>
      <x:c r="G5" s="40"/>
      <x:c r="H5" s="40"/>
    </x:row>
    <x:row r="6" ht="28" customHeight="1">
      <x:c r="A6" s="38" t="str">
        <x:v>Accepted records entered</x:v>
      </x:c>
      <x:c r="B6" s="38"/>
      <x:c r="C6" s="38"/>
      <x:c r="D6" s="38"/>
      <x:c r="E6" s="39" t="n">
        <x:f>COUNTIF(Deliverables!F6:F13,"Accepted")</x:f>
        <x:v>0</x:v>
      </x:c>
      <x:c r="F6" s="39"/>
      <x:c r="G6" s="40"/>
      <x:c r="H6" s="40"/>
    </x:row>
    <x:row r="7" ht="28" customHeight="1">
      <x:c r="A7" s="38" t="str">
        <x:v>Unresolved requirement applicability</x:v>
      </x:c>
      <x:c r="B7" s="38"/>
      <x:c r="C7" s="38"/>
      <x:c r="D7" s="38"/>
      <x:c r="E7" s="39" t="n">
        <x:f>COUNTIF(Requirements!G6:G199,"Unresolved")</x:f>
        <x:v>194</x:v>
      </x:c>
      <x:c r="F7" s="39"/>
      <x:c r="G7" s="40"/>
      <x:c r="H7" s="40"/>
    </x:row>
    <x:row r="8" ht="28" customHeight="1">
      <x:c r="A8" s="38" t="str">
        <x:v>Decisions not issued</x:v>
      </x:c>
      <x:c r="B8" s="38"/>
      <x:c r="C8" s="38"/>
      <x:c r="D8" s="38"/>
      <x:c r="E8" s="39" t="n">
        <x:f>COUNTIF(Decisions!G6:G23,"Not issued")</x:f>
        <x:v>18</x:v>
      </x:c>
      <x:c r="F8" s="39"/>
      <x:c r="G8" s="40"/>
      <x:c r="H8" s="40"/>
    </x:row>
    <x:row r="9">
      <x:c r="A9" s="40"/>
      <x:c r="B9" s="40"/>
      <x:c r="C9" s="40"/>
      <x:c r="D9" s="40"/>
      <x:c r="E9" s="40"/>
      <x:c r="F9" s="40"/>
      <x:c r="G9" s="40"/>
      <x:c r="H9" s="40"/>
    </x:row>
    <x:row r="10" ht="46" customHeight="1">
      <x:c r="A10" s="28" t="str">
        <x:v>1 • Scope</x:v>
      </x:c>
      <x:c r="B10" s="28"/>
      <x:c r="C10" s="28" t="str">
        <x:v>Complete HLD_and_Architecture_Review_Template.docx and assign actual owners.</x:v>
      </x:c>
      <x:c r="D10" s="28"/>
      <x:c r="E10" s="28"/>
      <x:c r="F10" s="28"/>
      <x:c r="G10" s="28"/>
      <x:c r="H10" s="28"/>
    </x:row>
    <x:row r="11" ht="46" customHeight="1">
      <x:c r="A11" s="28" t="str">
        <x:v>2 • Allocate</x:v>
      </x:c>
      <x:c r="B11" s="28"/>
      <x:c r="C11" s="28" t="str">
        <x:v>Resolve all applicable requirements, diagram homes, control responsibility and verification.</x:v>
      </x:c>
      <x:c r="D11" s="28"/>
      <x:c r="E11" s="28"/>
      <x:c r="F11" s="28"/>
      <x:c r="G11" s="28"/>
      <x:c r="H11" s="28"/>
    </x:row>
    <x:row r="12" ht="46" customHeight="1">
      <x:c r="A12" s="28" t="str">
        <x:v>3 • Decide</x:v>
      </x:c>
      <x:c r="B12" s="28"/>
      <x:c r="C12" s="28" t="str">
        <x:v>Review sharing, routing, failure, recovery, location, native realization and exceptions.</x:v>
      </x:c>
      <x:c r="D12" s="28"/>
      <x:c r="E12" s="28"/>
      <x:c r="F12" s="28"/>
      <x:c r="G12" s="28"/>
      <x:c r="H12" s="28"/>
    </x:row>
    <x:row r="13" ht="46" customHeight="1">
      <x:c r="A13" s="28" t="str">
        <x:v>4 • Handoff</x:v>
      </x:c>
      <x:c r="B13" s="28"/>
      <x:c r="C13" s="28" t="str">
        <x:v>Issue an attributable G0/engineering handoff. Accepted status requires a decision reference.</x:v>
      </x:c>
      <x:c r="D13" s="28"/>
      <x:c r="E13" s="28"/>
      <x:c r="F13" s="28"/>
      <x:c r="G13" s="28"/>
      <x:c r="H13" s="28"/>
    </x:row>
    <x:row r="14" ht="46" customHeight="1">
      <x:c r="A14" s="28" t="str">
        <x:v>Sources</x:v>
      </x:c>
      <x:c r="B14" s="28"/>
      <x:c r="C14" s="28" t="str">
        <x:v>The frozen v1.4 library controls the inherited design. K references identify additional mechanism checks.</x:v>
      </x:c>
      <x:c r="D14" s="28"/>
      <x:c r="E14" s="28"/>
      <x:c r="F14" s="28"/>
      <x:c r="G14" s="28"/>
      <x:c r="H14" s="28"/>
    </x:row>
    <x:row r="15" ht="46" customHeight="1">
      <x:c r="A15" s="28" t="str">
        <x:v>Record discipline</x:v>
      </x:c>
      <x:c r="B15" s="28"/>
      <x:c r="C15" s="28" t="str">
        <x:v>Excel, Word and CSV do not automatically synchronize. Nominate the authoritative project record for each field.</x:v>
      </x:c>
      <x:c r="D15" s="28"/>
      <x:c r="E15" s="28"/>
      <x:c r="F15" s="28"/>
      <x:c r="G15" s="28"/>
      <x:c r="H15" s="28"/>
    </x:row>
    <x:row r="16">
      <x:c r="A16" s="40"/>
      <x:c r="B16" s="40"/>
      <x:c r="C16" s="40"/>
      <x:c r="D16" s="40"/>
      <x:c r="E16" s="40"/>
      <x:c r="F16" s="40"/>
      <x:c r="G16" s="40"/>
      <x:c r="H16" s="40"/>
    </x:row>
    <x:row r="17">
      <x:c r="A17" s="40"/>
      <x:c r="B17" s="40"/>
      <x:c r="C17" s="40"/>
      <x:c r="D17" s="40"/>
      <x:c r="E17" s="40"/>
      <x:c r="F17" s="40"/>
      <x:c r="G17" s="40"/>
      <x:c r="H17" s="40"/>
    </x:row>
    <x:row r="18">
      <x:c r="A18" s="40"/>
      <x:c r="B18" s="40"/>
      <x:c r="C18" s="40"/>
      <x:c r="D18" s="40"/>
      <x:c r="E18" s="40"/>
      <x:c r="F18" s="40"/>
      <x:c r="G18" s="40"/>
      <x:c r="H18" s="40"/>
    </x:row>
    <x:row r="19">
      <x:c r="A19" s="40"/>
      <x:c r="B19" s="40"/>
      <x:c r="C19" s="40"/>
      <x:c r="D19" s="40"/>
      <x:c r="E19" s="40"/>
      <x:c r="F19" s="40"/>
      <x:c r="G19" s="40"/>
      <x:c r="H19" s="40"/>
    </x:row>
    <x:row r="20">
      <x:c r="A20" s="40"/>
      <x:c r="B20" s="40"/>
      <x:c r="C20" s="40"/>
      <x:c r="D20" s="40"/>
      <x:c r="E20" s="40"/>
      <x:c r="F20" s="40"/>
      <x:c r="G20" s="40"/>
      <x:c r="H20" s="40"/>
    </x:row>
  </x:sheetData>
  <x:mergeCells>
    <x:mergeCell ref="A1:H1"/>
    <x:mergeCell ref="A2:H3"/>
    <x:mergeCell ref="A5:D5"/>
    <x:mergeCell ref="E5:F5"/>
    <x:mergeCell ref="A6:D6"/>
    <x:mergeCell ref="E6:F6"/>
    <x:mergeCell ref="A7:D7"/>
    <x:mergeCell ref="E7:F7"/>
    <x:mergeCell ref="A8:D8"/>
    <x:mergeCell ref="E8:F8"/>
    <x:mergeCell ref="A10:B10"/>
    <x:mergeCell ref="C10:H10"/>
    <x:mergeCell ref="A11:B11"/>
    <x:mergeCell ref="C11:H11"/>
    <x:mergeCell ref="A12:B12"/>
    <x:mergeCell ref="C12:H12"/>
    <x:mergeCell ref="A13:B13"/>
    <x:mergeCell ref="C13:H13"/>
    <x:mergeCell ref="A14:B14"/>
    <x:mergeCell ref="C14:H14"/>
    <x:mergeCell ref="A15:B15"/>
    <x:mergeCell ref="C15:H15"/>
  </x:mergeCells>
  <x:pageMargins left="0.7" right="0.7" top="0.75" bottom="0.75" header="0.3" footer="0.3"/>
</x:worksheet>
</file>