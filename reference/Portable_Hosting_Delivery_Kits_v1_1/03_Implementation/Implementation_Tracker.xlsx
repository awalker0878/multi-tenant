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5c0fbae1a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ables" sheetId="1" r:id="Rd3a22aa31fb84bdf"/>
    <x:sheet xmlns:r="http://schemas.openxmlformats.org/officeDocument/2006/relationships" name="Work_Packages" sheetId="2" r:id="R1b71854b0c8441a9"/>
    <x:sheet xmlns:r="http://schemas.openxmlformats.org/officeDocument/2006/relationships" name="Build_Steps" sheetId="3" r:id="R9f9ecf4b6ce0402e"/>
    <x:sheet xmlns:r="http://schemas.openxmlformats.org/officeDocument/2006/relationships" name="Test_Applicability" sheetId="4" r:id="R579b4bb3a9044926"/>
    <x:sheet xmlns:r="http://schemas.openxmlformats.org/officeDocument/2006/relationships" name="Test_Results" sheetId="5" r:id="R49df8bb7804d4dab"/>
    <x:sheet xmlns:r="http://schemas.openxmlformats.org/officeDocument/2006/relationships" name="Evidence_Index" sheetId="6" r:id="Rf7ac7eb4e2f748f6"/>
    <x:sheet xmlns:r="http://schemas.openxmlformats.org/officeDocument/2006/relationships" name="Defects" sheetId="7" r:id="R3720ffd8cea74620"/>
    <x:sheet xmlns:r="http://schemas.openxmlformats.org/officeDocument/2006/relationships" name="Gate_Decisions" sheetId="8" r:id="R551527644cef411e"/>
    <x:sheet xmlns:r="http://schemas.openxmlformats.org/officeDocument/2006/relationships" name="Handover" sheetId="9" r:id="R4b39a7ee49334753"/>
    <x:sheet xmlns:r="http://schemas.openxmlformats.org/officeDocument/2006/relationships" name="Recovery_Record" sheetId="10" r:id="R175dc9cdd34c4345"/>
    <x:sheet xmlns:r="http://schemas.openxmlformats.org/officeDocument/2006/relationships" name="Retained_Copies" sheetId="11" r:id="R378d78b74311434d"/>
    <x:sheet xmlns:r="http://schemas.openxmlformats.org/officeDocument/2006/relationships" name="Change_Log" sheetId="12" r:id="Rc42dc7da90f74557"/>
    <x:sheet xmlns:r="http://schemas.openxmlformats.org/officeDocument/2006/relationships" name="Start" sheetId="13" r:id="R3945b8d8ac7f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21333C"/>
      <x:name val="Carlito"/>
    </x:font>
    <x:font>
      <x:sz val="10"/>
      <x:color rgb="FF21333C"/>
      <x:name val="Calibri"/>
    </x:font>
    <x:font>
      <x:b/>
      <x:sz val="10"/>
      <x:color rgb="FFFFFFFF"/>
      <x:name val="Calibri"/>
    </x:font>
    <x:font>
      <x:b/>
      <x:sz val="18"/>
      <x:color rgb="FFFFFFFF"/>
      <x:name val="Carlito"/>
    </x:font>
    <x:font>
      <x:sz val="11"/>
      <x:color rgb="FF21333C"/>
      <x:name val="Carlito"/>
    </x:font>
    <x:font>
      <x:sz val="12"/>
      <x:color rgb="FF21333C"/>
      <x:name val="Carlito"/>
    </x:font>
    <x:font>
      <x:b/>
      <x:sz val="12"/>
      <x:color rgb="FF2133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84A"/>
      </x:patternFill>
    </x:fill>
    <x:fill>
      <x:patternFill patternType="solid">
        <x:fgColor rgb="FFEAF6F4"/>
      </x:patternFill>
    </x:fill>
    <x:fill>
      <x:patternFill patternType="solid">
        <x:fgColor rgb="FFEEF5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0"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b8aab6aac4932" /><Relationship Type="http://schemas.openxmlformats.org/officeDocument/2006/relationships/theme" Target="/xl/theme/theme1.xml" Id="Ra654da0090d44c6d" /><Relationship Type="http://schemas.openxmlformats.org/officeDocument/2006/relationships/sharedStrings" Target="/xl/sharedStrings.xml" Id="R4823e26bca4844cb" /><Relationship Type="http://schemas.openxmlformats.org/officeDocument/2006/relationships/worksheet" Target="/xl/worksheets/sheet1.xml" Id="Rd3a22aa31fb84bdf" /><Relationship Type="http://schemas.openxmlformats.org/officeDocument/2006/relationships/worksheet" Target="/xl/worksheets/sheet2.xml" Id="R1b71854b0c8441a9" /><Relationship Type="http://schemas.openxmlformats.org/officeDocument/2006/relationships/worksheet" Target="/xl/worksheets/sheet3.xml" Id="R9f9ecf4b6ce0402e" /><Relationship Type="http://schemas.openxmlformats.org/officeDocument/2006/relationships/worksheet" Target="/xl/worksheets/sheet4.xml" Id="R579b4bb3a9044926" /><Relationship Type="http://schemas.openxmlformats.org/officeDocument/2006/relationships/worksheet" Target="/xl/worksheets/sheet5.xml" Id="R49df8bb7804d4dab" /><Relationship Type="http://schemas.openxmlformats.org/officeDocument/2006/relationships/worksheet" Target="/xl/worksheets/sheet6.xml" Id="Rf7ac7eb4e2f748f6" /><Relationship Type="http://schemas.openxmlformats.org/officeDocument/2006/relationships/worksheet" Target="/xl/worksheets/sheet7.xml" Id="R3720ffd8cea74620" /><Relationship Type="http://schemas.openxmlformats.org/officeDocument/2006/relationships/worksheet" Target="/xl/worksheets/sheet8.xml" Id="R551527644cef411e" /><Relationship Type="http://schemas.openxmlformats.org/officeDocument/2006/relationships/worksheet" Target="/xl/worksheets/sheet9.xml" Id="R4b39a7ee49334753" /><Relationship Type="http://schemas.openxmlformats.org/officeDocument/2006/relationships/worksheet" Target="/xl/worksheets/sheet10.xml" Id="R175dc9cdd34c4345" /><Relationship Type="http://schemas.openxmlformats.org/officeDocument/2006/relationships/worksheet" Target="/xl/worksheets/sheet11.xml" Id="R378d78b74311434d" /><Relationship Type="http://schemas.openxmlformats.org/officeDocument/2006/relationships/worksheet" Target="/xl/worksheets/sheet12.xml" Id="Rc42dc7da90f74557" /><Relationship Type="http://schemas.openxmlformats.org/officeDocument/2006/relationships/worksheet" Target="/xl/worksheets/sheet13.xml" Id="R3945b8d8ac7f4d68" /></Relationships>
</file>

<file path=xl/tables/table1.xml><?xml version="1.0" encoding="utf-8"?>
<x:table xmlns:x="http://schemas.openxmlformats.org/spreadsheetml/2006/main" id="1" name="T_Deliverables" displayName="T_Deliverables" ref="A5:I15" headerRowCount="1" totalsRowCount="0" totalsRowShown="0">
  <x:tableColumns count="9">
    <x:tableColumn id="1" name="ID"/>
    <x:tableColumn id="2" name="Deliverable"/>
    <x:tableColumn id="3" name="Owner role"/>
    <x:tableColumn id="4" name="Actual owner"/>
    <x:tableColumn id="5" name="Gate"/>
    <x:tableColumn id="6" name="Status"/>
    <x:tableColumn id="7" name="Completion criteria"/>
    <x:tableColumn id="8" name="Actual evidence"/>
    <x:tableColumn id="9" name="Decision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WorkPackages" displayName="T_WorkPackages" ref="A5:H12" headerRowCount="1" totalsRowCount="0" totalsRowShown="0">
  <x:tableColumns count="8">
    <x:tableColumn id="1" name="ID"/>
    <x:tableColumn id="2" name="Work package"/>
    <x:tableColumn id="3" name="Owner role"/>
    <x:tableColumn id="4" name="Prerequisites"/>
    <x:tableColumn id="5" name="Required handoff"/>
    <x:tableColumn id="6" name="Actual owner"/>
    <x:tableColumn id="7" name="Status"/>
    <x:tableColumn id="8" name="Receipt / limit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BuildSteps" displayName="T_BuildSteps" ref="A5:K66" headerRowCount="1" totalsRowCount="0" totalsRowShown="0">
  <x:tableColumns count="11">
    <x:tableColumn id="1" name="Step ID"/>
    <x:tableColumn id="2" name="Runbook"/>
    <x:tableColumn id="3" name="Reference step"/>
    <x:tableColumn id="4" name="Owner role"/>
    <x:tableColumn id="5" name="Action / expected observation"/>
    <x:tableColumn id="6" name="Stop / preserve"/>
    <x:tableColumn id="7" name="Actual target / artifact"/>
    <x:tableColumn id="8" name="Actual operator"/>
    <x:tableColumn id="9" name="Status"/>
    <x:tableColumn id="10" name="Native task / UTC"/>
    <x:tableColumn id="11" name="Evidence / dispos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TestApplicability" displayName="T_TestApplicability" ref="A5:J109" headerRowCount="1" totalsRowCount="0" totalsRowShown="0">
  <x:tableColumns count="10">
    <x:tableColumn id="1" name="Reference ID"/>
    <x:tableColumn id="2" name="Record type"/>
    <x:tableColumn id="3" name="Title / assertion"/>
    <x:tableColumn id="4" name="Expected outcome"/>
    <x:tableColumn id="5" name="Inherited mappings"/>
    <x:tableColumn id="6" name="Source"/>
    <x:tableColumn id="7" name="Applicability"/>
    <x:tableColumn id="8" name="Actual service / tuple / family"/>
    <x:tableColumn id="9" name="Campaign stage"/>
    <x:tableColumn id="10" name="Rationale / approving auth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TestResults" displayName="T_TestResults" ref="A5:I109" headerRowCount="1" totalsRowCount="0" totalsRowShown="0">
  <x:tableColumns count="9">
    <x:tableColumn id="1" name="Execution ID"/>
    <x:tableColumn id="2" name="Reference ID"/>
    <x:tableColumn id="3" name="Result"/>
    <x:tableColumn id="4" name="Actual tuple / topology"/>
    <x:tableColumn id="5" name="Preconditions / healthy control"/>
    <x:tableColumn id="6" name="Observed result / UTC"/>
    <x:tableColumn id="7" name="Evidence reference / digest"/>
    <x:tableColumn id="8" name="Reviewer / authority"/>
    <x:tableColumn id="9" name="N/A rationale / de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EvidenceIndex" displayName="T_EvidenceIndex" ref="A5:H25" headerRowCount="1" totalsRowCount="0" totalsRowShown="0">
  <x:tableColumns count="8">
    <x:tableColumn id="1" name="Evidence ID"/>
    <x:tableColumn id="2" name="Execution / change / requirement"/>
    <x:tableColumn id="3" name="Actual artifact reference"/>
    <x:tableColumn id="4" name="Digest / integrity method"/>
    <x:tableColumn id="5" name="Target / scope / revision"/>
    <x:tableColumn id="6" name="Observed UTC / collector"/>
    <x:tableColumn id="7" name="Classification / access / retention"/>
    <x:tableColumn id="8" name="Reviewer / freshness dis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Defects" displayName="T_Defects" ref="A5:I17" headerRowCount="1" totalsRowCount="0" totalsRowShown="0">
  <x:tableColumns count="9">
    <x:tableColumn id="1" name="Defect ID"/>
    <x:tableColumn id="2" name="Observed fact / scope"/>
    <x:tableColumn id="3" name="Expected design / requirement"/>
    <x:tableColumn id="4" name="Impact / priority rationale"/>
    <x:tableColumn id="5" name="Actual owner"/>
    <x:tableColumn id="6" name="Status"/>
    <x:tableColumn id="7" name="Recovery / correction"/>
    <x:tableColumn id="8" name="Retest evidence"/>
    <x:tableColumn id="9" name="Disposition authority / deadlin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GateDecisions" displayName="T_GateDecisions" ref="A5:I12" headerRowCount="1" totalsRowCount="0" totalsRowShown="0">
  <x:tableColumns count="9">
    <x:tableColumn id="1" name="Gate ID"/>
    <x:tableColumn id="2" name="Purpose"/>
    <x:tableColumn id="3" name="Owner role"/>
    <x:tableColumn id="4" name="Required prior scope"/>
    <x:tableColumn id="5" name="Evidence / required records"/>
    <x:tableColumn id="6" name="Actual decision"/>
    <x:tableColumn id="7" name="Issuer / record"/>
    <x:tableColumn id="8" name="Validity / conditions"/>
    <x:tableColumn id="9" name="Actual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Handover" displayName="T_Handover" ref="A5:G15" headerRowCount="1" totalsRowCount="0" totalsRowShown="0">
  <x:tableColumns count="7">
    <x:tableColumn id="1" name="ID"/>
    <x:tableColumn id="2" name="Readiness area"/>
    <x:tableColumn id="3" name="Required record"/>
    <x:tableColumn id="4" name="Actual owner"/>
    <x:tableColumn id="5" name="Status"/>
    <x:tableColumn id="6" name="Evidence"/>
    <x:tableColumn id="7" name="Decision / condi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RecoveryRecord" displayName="T_RecoveryRecord" ref="A5:I13" headerRowCount="1" totalsRowCount="0" totalsRowShown="0">
  <x:tableColumns count="9">
    <x:tableColumn id="1" name="Exercise ID"/>
    <x:tableColumn id="2" name="Failure / source / target"/>
    <x:tableColumn id="3" name="Scope / RTO / RPO definition"/>
    <x:tableColumn id="4" name="Writer / fencing evidence"/>
    <x:tableColumn id="5" name="Keys / catalogue / dependencies"/>
    <x:tableColumn id="6" name="Actual recovered point / time"/>
    <x:tableColumn id="7" name="Data / security acceptance"/>
    <x:tableColumn id="8" name="Result"/>
    <x:tableColumn id="9" name="Authority / evid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RetainedCopies" displayName="T_RetainedCopies" ref="A5:H15" headerRowCount="1" totalsRowCount="0" totalsRowShown="0">
  <x:tableColumns count="8">
    <x:tableColumn id="1" name="Record ID"/>
    <x:tableColumn id="2" name="Former WSD / copy identity"/>
    <x:tableColumn id="3" name="Location / access scope"/>
    <x:tableColumn id="4" name="Retention / hold / owner"/>
    <x:tableColumn id="5" name="Required key / catalogue"/>
    <x:tableColumn id="6" name="Approved live cleanup"/>
    <x:tableColumn id="7" name="Sanitization method / evidence"/>
    <x:tableColumn id="8" name="Remaining obligation / next review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ChangeLog" displayName="T_ChangeLog" ref="A5:H15" headerRowCount="1" totalsRowCount="0" totalsRowShown="0">
  <x:tableColumns count="8">
    <x:tableColumn id="1" name="Change ID"/>
    <x:tableColumn id="2" name="Date / owner"/>
    <x:tableColumn id="3" name="Scope / baseline revision"/>
    <x:tableColumn id="4" name="Affected architecture / interfaces"/>
    <x:tableColumn id="5" name="Build / rollback / safe stop"/>
    <x:tableColumn id="6" name="Required re-verification"/>
    <x:tableColumn id="7" name="Approval / execution evidenc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062a83c11d4b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51fff9e43c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9c6e34f7464d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c1d3604aca47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df36657f924b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4ce14b97284f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97c80577b4f47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8c696faff547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fa071d71424f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479940f3ad04a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abf3ab2c11f417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1cd95e3272a4f1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29" hidden="0" customWidth="1"/>
    <x:col min="4" max="4" width="24" hidden="0" customWidth="1"/>
    <x:col min="5" max="5" width="22" hidden="0" customWidth="1"/>
    <x:col min="6" max="6" width="22" hidden="0" customWidth="1"/>
    <x:col min="7" max="7" width="46" hidden="0" customWidth="1"/>
    <x:col min="8" max="8" width="37" hidden="0" customWidth="1"/>
    <x:col min="9" max="9" width="32" hidden="0" customWidth="1"/>
  </x:cols>
  <x:sheetData>
    <x:row r="1" ht="30" customHeight="1">
      <x:c r="A1" s="3" t="str">
        <x:v>Implementation delivery register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WORKING RECORD • Status records progress; actual evidence and authority must be linked separately.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ID</x:v>
      </x:c>
      <x:c r="B5" s="19" t="str">
        <x:v>Deliverable</x:v>
      </x:c>
      <x:c r="C5" s="19" t="str">
        <x:v>Owner role</x:v>
      </x:c>
      <x:c r="D5" s="19" t="str">
        <x:v>Actual owner</x:v>
      </x:c>
      <x:c r="E5" s="19" t="str">
        <x:v>Gate</x:v>
      </x:c>
      <x:c r="F5" s="19" t="str">
        <x:v>Status</x:v>
      </x:c>
      <x:c r="G5" s="19" t="str">
        <x:v>Completion criteria</x:v>
      </x:c>
      <x:c r="H5" s="19" t="str">
        <x:v>Actual evidence</x:v>
      </x:c>
      <x:c r="I5" s="19" t="str">
        <x:v>Decision reference</x:v>
      </x:c>
    </x:row>
    <x:row r="6" ht="48" customHeight="1">
      <x:c r="A6" s="14" t="str">
        <x:v>IK-01</x:v>
      </x:c>
      <x:c r="B6" s="14" t="str">
        <x:v>Change scope, release freeze and execution authority</x:v>
      </x:c>
      <x:c r="C6" s="14" t="str">
        <x:v>Change owner</x:v>
      </x:c>
      <x:c r="D6" s="22" t="str"/>
      <x:c r="E6" s="14" t="str">
        <x:v>Before execution</x:v>
      </x:c>
      <x:c r="F6" s="22" t="str">
        <x:v>Not started</x:v>
      </x:c>
      <x:c r="G6" s="14" t="str">
        <x:v>Actual change reference, immutable artifacts, scope, participants and stop authority recorded.</x:v>
      </x:c>
      <x:c r="H6" s="22" t="str"/>
      <x:c r="I6" s="22" t="str"/>
    </x:row>
    <x:row r="7" ht="48" customHeight="1">
      <x:c r="A7" s="14" t="str">
        <x:v>IK-02</x:v>
      </x:c>
      <x:c r="B7" s="14" t="str">
        <x:v>Staging and installation readiness</x:v>
      </x:c>
      <x:c r="C7" s="14" t="str">
        <x:v>Deployment lead</x:v>
      </x:c>
      <x:c r="D7" s="22" t="str"/>
      <x:c r="E7" s="14" t="str">
        <x:v>G1</x:v>
      </x:c>
      <x:c r="F7" s="22" t="str">
        <x:v>Not started</x:v>
      </x:c>
      <x:c r="G7" s="14" t="str">
        <x:v>Supplier/asset checks, approved installation method, facility work, recovery access and staging results accepted.</x:v>
      </x:c>
      <x:c r="H7" s="22" t="str"/>
      <x:c r="I7" s="22" t="str"/>
    </x:row>
    <x:row r="8" ht="48" customHeight="1">
      <x:c r="A8" s="14" t="str">
        <x:v>IK-03</x:v>
      </x:c>
      <x:c r="B8" s="14" t="str">
        <x:v>P0–P1 bootstrap and foundation receipts</x:v>
      </x:c>
      <x:c r="C8" s="14" t="str">
        <x:v>Foundation owner</x:v>
      </x:c>
      <x:c r="D8" s="22" t="str"/>
      <x:c r="E8" s="14" t="str">
        <x:v>G1</x:v>
      </x:c>
      <x:c r="F8" s="22" t="str">
        <x:v>Not started</x:v>
      </x:c>
      <x:c r="G8" s="14" t="str">
        <x:v>Trusted independent access, minimum services and verified physical/network transport precede platform consumption.</x:v>
      </x:c>
      <x:c r="H8" s="22" t="str"/>
      <x:c r="I8" s="22" t="str"/>
    </x:row>
    <x:row r="9" ht="48" customHeight="1">
      <x:c r="A9" s="14" t="str">
        <x:v>IK-04</x:v>
      </x:c>
      <x:c r="B9" s="14" t="str">
        <x:v>P2 native platform build receipts</x:v>
      </x:c>
      <x:c r="C9" s="14" t="str">
        <x:v>Selected platform owner</x:v>
      </x:c>
      <x:c r="D9" s="22" t="str"/>
      <x:c r="E9" s="14" t="str">
        <x:v>G2</x:v>
      </x:c>
      <x:c r="F9" s="22" t="str">
        <x:v>Not started</x:v>
      </x:c>
      <x:c r="G9" s="14" t="str">
        <x:v>Installer and native resource changes match approved tuple; APIs, baseline and supported recovery observed.</x:v>
      </x:c>
      <x:c r="H9" s="22" t="str"/>
      <x:c r="I9" s="22" t="str"/>
    </x:row>
    <x:row r="10" ht="48" customHeight="1">
      <x:c r="A10" s="14" t="str">
        <x:v>IK-05</x:v>
      </x:c>
      <x:c r="B10" s="14" t="str">
        <x:v>P3 shared-service and boundary receipts</x:v>
      </x:c>
      <x:c r="C10" s="14" t="str">
        <x:v>Service + edge owners</x:v>
      </x:c>
      <x:c r="D10" s="22" t="str"/>
      <x:c r="E10" s="14" t="str">
        <x:v>G2</x:v>
      </x:c>
      <x:c r="F10" s="22" t="str">
        <x:v>Not started</x:v>
      </x:c>
      <x:c r="G10" s="14" t="str">
        <x:v>Denied boundary paths, service clients, return routing, names/trust/backup and management separation observed.</x:v>
      </x:c>
      <x:c r="H10" s="22" t="str"/>
      <x:c r="I10" s="22" t="str"/>
    </x:row>
    <x:row r="11" ht="48" customHeight="1">
      <x:c r="A11" s="14" t="str">
        <x:v>IK-06</x:v>
      </x:c>
      <x:c r="B11" s="14" t="str">
        <x:v>Restricted qualification fixture and test campaign</x:v>
      </x:c>
      <x:c r="C11" s="14" t="str">
        <x:v>Assurance lead</x:v>
      </x:c>
      <x:c r="D11" s="22" t="str"/>
      <x:c r="E11" s="14" t="str">
        <x:v>G2</x:v>
      </x:c>
      <x:c r="F11" s="22" t="str">
        <x:v>Not started</x:v>
      </x:c>
      <x:c r="G11" s="14" t="str">
        <x:v>Authorized disposable scope, actual observations and supporting control paths; no production qualification assumed.</x:v>
      </x:c>
      <x:c r="H11" s="22" t="str"/>
      <x:c r="I11" s="22" t="str"/>
    </x:row>
    <x:row r="12" ht="48" customHeight="1">
      <x:c r="A12" s="14" t="str">
        <x:v>IK-07</x:v>
      </x:c>
      <x:c r="B12" s="14" t="str">
        <x:v>G4 initial operational and recovery readiness</x:v>
      </x:c>
      <x:c r="C12" s="14" t="str">
        <x:v>Service operations owner</x:v>
      </x:c>
      <x:c r="D12" s="22" t="str"/>
      <x:c r="E12" s="14" t="str">
        <x:v>Before G3</x:v>
      </x:c>
      <x:c r="F12" s="22" t="str">
        <x:v>Not started</x:v>
      </x:c>
      <x:c r="G12" s="14" t="str">
        <x:v>Owners, support, monitoring, incident paths and required restore/recovery evidence accepted before activation.</x:v>
      </x:c>
      <x:c r="H12" s="22" t="str"/>
      <x:c r="I12" s="22" t="str"/>
    </x:row>
    <x:row r="13" ht="48" customHeight="1">
      <x:c r="A13" s="14" t="str">
        <x:v>IK-08</x:v>
      </x:c>
      <x:c r="B13" s="14" t="str">
        <x:v>P4–P5 tenant build and production activation</x:v>
      </x:c>
      <x:c r="C13" s="14" t="str">
        <x:v>Service acceptance owner</x:v>
      </x:c>
      <x:c r="D13" s="22" t="str"/>
      <x:c r="E13" s="14" t="str">
        <x:v>G3</x:v>
      </x:c>
      <x:c r="F13" s="22" t="str">
        <x:v>Not started</x:v>
      </x:c>
      <x:c r="G13" s="14" t="str">
        <x:v>G0/G1/G2, applicable initial G4, current tests and valid authority precede reversible activation.</x:v>
      </x:c>
      <x:c r="H13" s="22" t="str"/>
      <x:c r="I13" s="22" t="str"/>
    </x:row>
    <x:row r="14" ht="48" customHeight="1">
      <x:c r="A14" s="14" t="str">
        <x:v>IK-09</x:v>
      </x:c>
      <x:c r="B14" s="14" t="str">
        <x:v>As-built, defect and evidence records</x:v>
      </x:c>
      <x:c r="C14" s="14" t="str">
        <x:v>Implementation + operations</x:v>
      </x:c>
      <x:c r="D14" s="22" t="str"/>
      <x:c r="E14" s="14" t="str">
        <x:v>G3/G4</x:v>
      </x:c>
      <x:c r="F14" s="22" t="str">
        <x:v>Not started</x:v>
      </x:c>
      <x:c r="G14" s="14" t="str">
        <x:v>Actual identities, configurations, departures, tests, evidence and owner acceptance are attributable.</x:v>
      </x:c>
      <x:c r="H14" s="22" t="str"/>
      <x:c r="I14" s="22" t="str"/>
    </x:row>
    <x:row r="15" ht="48" customHeight="1">
      <x:c r="A15" s="14" t="str">
        <x:v>IK-10</x:v>
      </x:c>
      <x:c r="B15" s="14" t="str">
        <x:v>P6 maintenance, migration and retirement</x:v>
      </x:c>
      <x:c r="C15" s="14" t="str">
        <x:v>Lifecycle/data owners</x:v>
      </x:c>
      <x:c r="D15" s="22" t="str"/>
      <x:c r="E15" s="14" t="str">
        <x:v>G4 continuing</x:v>
      </x:c>
      <x:c r="F15" s="22" t="str">
        <x:v>Not started</x:v>
      </x:c>
      <x:c r="G15" s="14" t="str">
        <x:v>Change requalification, fencing, retained-copy/key obligations, access withdrawal and safe disposal tracked.</x:v>
      </x:c>
      <x:c r="H15" s="22" t="str"/>
      <x:c r="I15" s="22" t="str"/>
    </x:row>
  </x:sheetData>
  <x:mergeCells>
    <x:mergeCell ref="A1:I1"/>
    <x:mergeCell ref="A2:I3"/>
  </x:mergeCells>
  <x:conditionalFormatting sqref="F6:F15">
    <x:cfRule type="expression" dxfId="0" priority="1">
      <x:formula>F6="Blocked"</x:formula>
    </x:cfRule>
    <x:cfRule type="expression" dxfId="1" priority="2">
      <x:formula>F6="Failed"</x:formula>
    </x:cfRule>
  </x:conditionalFormatting>
  <x:dataValidations count="1">
    <x:dataValidation type="list" sqref="F6:F15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062a83c11d4b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50" hidden="0" customWidth="1"/>
    <x:col min="5" max="5" width="54" hidden="0" customWidth="1"/>
    <x:col min="6" max="6" width="26" hidden="0" customWidth="1"/>
    <x:col min="7" max="7" width="22" hidden="0" customWidth="1"/>
    <x:col min="8" max="8" width="42" hidden="0" customWidth="1"/>
  </x:cols>
  <x:sheetData>
    <x:row r="1" ht="30" customHeight="1">
      <x:c r="A1" s="3" t="str">
        <x:v>P0–P6 execution and accepted handoffs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Installation dependencies are not permission to offer production. Keep separate owners, actual artifacts and handoffs.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ID</x:v>
      </x:c>
      <x:c r="B5" s="19" t="str">
        <x:v>Work package</x:v>
      </x:c>
      <x:c r="C5" s="19" t="str">
        <x:v>Owner role</x:v>
      </x:c>
      <x:c r="D5" s="19" t="str">
        <x:v>Prerequisites</x:v>
      </x:c>
      <x:c r="E5" s="19" t="str">
        <x:v>Required handoff</x:v>
      </x:c>
      <x:c r="F5" s="19" t="str">
        <x:v>Actual owner</x:v>
      </x:c>
      <x:c r="G5" s="19" t="str">
        <x:v>Status</x:v>
      </x:c>
      <x:c r="H5" s="19" t="str">
        <x:v>Receipt / limitations</x:v>
      </x:c>
    </x:row>
    <x:row r="6" ht="38" customHeight="1">
      <x:c r="A6" s="14" t="str">
        <x:v>P0</x:v>
      </x:c>
      <x:c r="B6" s="14" t="str">
        <x:v>Bootstrap / trust</x:v>
      </x:c>
      <x:c r="C6" s="14" t="str">
        <x:v>Bootstrap owner</x:v>
      </x:c>
      <x:c r="D6" s="14" t="str">
        <x:v>G0 for affected scope</x:v>
      </x:c>
      <x:c r="E6" s="14" t="str">
        <x:v>Restricted access, minimum trusted services and independent recovery.</x:v>
      </x:c>
      <x:c r="F6" s="22" t="str"/>
      <x:c r="G6" s="22" t="str">
        <x:v>Not started</x:v>
      </x:c>
      <x:c r="H6" s="22" t="str"/>
    </x:row>
    <x:row r="7" ht="38" customHeight="1">
      <x:c r="A7" s="14" t="str">
        <x:v>P1</x:v>
      </x:c>
      <x:c r="B7" s="14" t="str">
        <x:v>Physical foundation</x:v>
      </x:c>
      <x:c r="C7" s="14" t="str">
        <x:v>Foundation owner</x:v>
      </x:c>
      <x:c r="D7" s="14" t="str">
        <x:v>P0; accepted site design</x:v>
      </x:c>
      <x:c r="E7" s="14" t="str">
        <x:v>OOB, fabric, physical routing/attachments, observed management and failure scope.</x:v>
      </x:c>
      <x:c r="F7" s="22" t="str"/>
      <x:c r="G7" s="22" t="str">
        <x:v>Not started</x:v>
      </x:c>
      <x:c r="H7" s="22" t="str"/>
    </x:row>
    <x:row r="8" ht="38" customHeight="1">
      <x:c r="A8" s="14" t="str">
        <x:v>P2</x:v>
      </x:c>
      <x:c r="B8" s="14" t="str">
        <x:v>Native platform</x:v>
      </x:c>
      <x:c r="C8" s="14" t="str">
        <x:v>Selected platform owner</x:v>
      </x:c>
      <x:c r="D8" s="14" t="str">
        <x:v>G1; approved bootstrap dependencies</x:v>
      </x:c>
      <x:c r="E8" s="14" t="str">
        <x:v>Installed tuple, eligible pools, storage/overlay and actual native ownership.</x:v>
      </x:c>
      <x:c r="F8" s="22" t="str"/>
      <x:c r="G8" s="22" t="str">
        <x:v>Not started</x:v>
      </x:c>
      <x:c r="H8" s="22" t="str"/>
    </x:row>
    <x:row r="9" ht="38" customHeight="1">
      <x:c r="A9" s="14" t="str">
        <x:v>P3</x:v>
      </x:c>
      <x:c r="B9" s="14" t="str">
        <x:v>Security / common services</x:v>
      </x:c>
      <x:c r="C9" s="14" t="str">
        <x:v>Service and edge owners</x:v>
      </x:c>
      <x:c r="D9" s="14" t="str">
        <x:v>Accepted transport; coordinated P2 installation</x:v>
      </x:c>
      <x:c r="E9" s="14" t="str">
        <x:v>Boundaries, named services, identity/keys/logging/protection; joint P2/P3 G2 acceptance.</x:v>
      </x:c>
      <x:c r="F9" s="22" t="str"/>
      <x:c r="G9" s="22" t="str">
        <x:v>Not started</x:v>
      </x:c>
      <x:c r="H9" s="22" t="str"/>
    </x:row>
    <x:row r="10" ht="38" customHeight="1">
      <x:c r="A10" s="14" t="str">
        <x:v>P4</x:v>
      </x:c>
      <x:c r="B10" s="14" t="str">
        <x:v>Tenant / domain</x:v>
      </x:c>
      <x:c r="C10" s="14" t="str">
        <x:v>Platform and security owners</x:v>
      </x:c>
      <x:c r="D10" s="14" t="str">
        <x:v>G2 for ordinary production; separate restricted-fixture path</x:v>
      </x:c>
      <x:c r="E10" s="14" t="str">
        <x:v>Owned scope, addresses, networks, routes and mandatory policy under deny.</x:v>
      </x:c>
      <x:c r="F10" s="22" t="str"/>
      <x:c r="G10" s="22" t="str">
        <x:v>Not started</x:v>
      </x:c>
      <x:c r="H10" s="22" t="str"/>
    </x:row>
    <x:row r="11" ht="38" customHeight="1">
      <x:c r="A11" s="14" t="str">
        <x:v>P5</x:v>
      </x:c>
      <x:c r="B11" s="14" t="str">
        <x:v>Workload / activation</x:v>
      </x:c>
      <x:c r="C11" s="14" t="str">
        <x:v>Service acceptance owner</x:v>
      </x:c>
      <x:c r="D11" s="14" t="str">
        <x:v>P4; current tests; initial G4 and operating authority before production G3</x:v>
      </x:c>
      <x:c r="E11" s="14" t="str">
        <x:v>Owned VMs/disks/services, verified boundaries and controlled activation.</x:v>
      </x:c>
      <x:c r="F11" s="22" t="str"/>
      <x:c r="G11" s="22" t="str">
        <x:v>Not started</x:v>
      </x:c>
      <x:c r="H11" s="22" t="str"/>
    </x:row>
    <x:row r="12" ht="38" customHeight="1">
      <x:c r="A12" s="14" t="str">
        <x:v>P6</x:v>
      </x:c>
      <x:c r="B12" s="14" t="str">
        <x:v>Change / retirement</x:v>
      </x:c>
      <x:c r="C12" s="14" t="str">
        <x:v>Lifecycle and data owners</x:v>
      </x:c>
      <x:c r="D12" s="14" t="str">
        <x:v>Accepted current scope and authorized change</x:v>
      </x:c>
      <x:c r="E12" s="14" t="str">
        <x:v>Safe maintenance/recovery/migration/retirement with retained obligations.</x:v>
      </x:c>
      <x:c r="F12" s="22" t="str"/>
      <x:c r="G12" s="22" t="str">
        <x:v>Not started</x:v>
      </x:c>
      <x:c r="H12" s="22" t="str"/>
    </x:row>
  </x:sheetData>
  <x:mergeCells>
    <x:mergeCell ref="A1:H1"/>
    <x:mergeCell ref="A2:H3"/>
  </x:mergeCells>
  <x:conditionalFormatting sqref="G6:G12">
    <x:cfRule type="expression" dxfId="2" priority="1">
      <x:formula>G6="Blocked"</x:formula>
    </x:cfRule>
    <x:cfRule type="expression" dxfId="3" priority="2">
      <x:formula>G6="Failed"</x:formula>
    </x:cfRule>
  </x:conditionalFormatting>
  <x:dataValidations count="1">
    <x:dataValidation type="list" sqref="G6:G12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51fff9e43c4b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5" hidden="0" customWidth="1"/>
    <x:col min="4" max="4" width="32" hidden="0" customWidth="1"/>
    <x:col min="5" max="5" width="60" hidden="0" customWidth="1"/>
    <x:col min="6" max="6" width="49" hidden="0" customWidth="1"/>
    <x:col min="7" max="7" width="42" hidden="0" customWidth="1"/>
    <x:col min="8" max="8" width="25" hidden="0" customWidth="1"/>
    <x:col min="9" max="9" width="21" hidden="0" customWidth="1"/>
    <x:col min="10" max="10" width="36" hidden="0" customWidth="1"/>
    <x:col min="11" max="11" width="41" hidden="0" customWidth="1"/>
  </x:cols>
  <x:sheetData>
    <x:row r="1" ht="30" customHeight="1">
      <x:c r="A1" s="3" t="str">
        <x:v>Reference methods — actual execution record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8" t="str">
        <x:v>61 site-parameterized steps from 10 runbooks. Fill actual target, approved artifact, operator and evidence. There are no executable vendor commands or supplied permissions.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9" t="str">
        <x:v>Step ID</x:v>
      </x:c>
      <x:c r="B5" s="19" t="str">
        <x:v>Runbook</x:v>
      </x:c>
      <x:c r="C5" s="19" t="str">
        <x:v>Reference step</x:v>
      </x:c>
      <x:c r="D5" s="19" t="str">
        <x:v>Owner role</x:v>
      </x:c>
      <x:c r="E5" s="19" t="str">
        <x:v>Action / expected observation</x:v>
      </x:c>
      <x:c r="F5" s="19" t="str">
        <x:v>Stop / preserve</x:v>
      </x:c>
      <x:c r="G5" s="19" t="str">
        <x:v>Actual target / artifact</x:v>
      </x:c>
      <x:c r="H5" s="19" t="str">
        <x:v>Actual operator</x:v>
      </x:c>
      <x:c r="I5" s="19" t="str">
        <x:v>Status</x:v>
      </x:c>
      <x:c r="J5" s="19" t="str">
        <x:v>Native task / UTC</x:v>
      </x:c>
      <x:c r="K5" s="19" t="str">
        <x:v>Evidence / disposition</x:v>
      </x:c>
    </x:row>
    <x:row r="6" ht="48" customHeight="1">
      <x:c r="A6" s="14" t="str">
        <x:v>RB-00-01</x:v>
      </x:c>
      <x:c r="B6" s="14" t="str">
        <x:v>RB-00</x:v>
      </x:c>
      <x:c r="C6" s="14" t="str">
        <x:v>Identify the delivery</x:v>
      </x:c>
      <x:c r="D6" s="14" t="str">
        <x:v>Change owner</x:v>
      </x:c>
      <x:c r="E6" s="14" t="str">
        <x:v>Confirm the service, site, tenant/data scope, environment and work package. Expected: Scope and exclusions match the change request.</x:v>
      </x:c>
      <x:c r="F6" s="14" t="str">
        <x:v>Stop if the actual target or owner differs.</x:v>
      </x:c>
      <x:c r="G6" s="22" t="str"/>
      <x:c r="H6" s="22" t="str"/>
      <x:c r="I6" s="22" t="str">
        <x:v>Not run</x:v>
      </x:c>
      <x:c r="J6" s="22" t="str"/>
      <x:c r="K6" s="22" t="str"/>
    </x:row>
    <x:row r="7" ht="61" customHeight="1">
      <x:c r="A7" s="14" t="str">
        <x:v>RB-00-02</x:v>
      </x:c>
      <x:c r="B7" s="14" t="str">
        <x:v>RB-00</x:v>
      </x:c>
      <x:c r="C7" s="14" t="str">
        <x:v>Freeze the engineering input</x:v>
      </x:c>
      <x:c r="D7" s="14" t="str">
        <x:v>Change owner</x:v>
      </x:c>
      <x:c r="E7" s="14" t="str">
        <x:v>Resolve the HLD/LLD revision, drawings, schedules, exact tuple, approved configuration artifacts and hashes. Expected: One controlled build baseline is identified.</x:v>
      </x:c>
      <x:c r="F7" s="14" t="str">
        <x:v>Do not substitute moving latest versions or missing configuration.</x:v>
      </x:c>
      <x:c r="G7" s="22" t="str"/>
      <x:c r="H7" s="22" t="str"/>
      <x:c r="I7" s="22" t="str">
        <x:v>Not run</x:v>
      </x:c>
      <x:c r="J7" s="22" t="str"/>
      <x:c r="K7" s="22" t="str"/>
    </x:row>
    <x:row r="8" ht="61" customHeight="1">
      <x:c r="A8" s="14" t="str">
        <x:v>RB-00-03</x:v>
      </x:c>
      <x:c r="B8" s="14" t="str">
        <x:v>RB-00</x:v>
      </x:c>
      <x:c r="C8" s="14" t="str">
        <x:v>Confirm authority and safety</x:v>
      </x:c>
      <x:c r="D8" s="14" t="str">
        <x:v>Change owner</x:v>
      </x:c>
      <x:c r="E8" s="14" t="str">
        <x:v>Name executors, reviewer, stop/escalation authority, change window and allowed physical or intrusive-test scope. Expected: Required permissions and site safety releases apply to this action.</x:v>
      </x:c>
      <x:c r="F8" s="14" t="str">
        <x:v>No authorization or unsafe conditions: do not start.</x:v>
      </x:c>
      <x:c r="G8" s="22" t="str"/>
      <x:c r="H8" s="22" t="str"/>
      <x:c r="I8" s="22" t="str">
        <x:v>Not run</x:v>
      </x:c>
      <x:c r="J8" s="22" t="str"/>
      <x:c r="K8" s="22" t="str"/>
    </x:row>
    <x:row r="9" ht="61" customHeight="1">
      <x:c r="A9" s="14" t="str">
        <x:v>RB-00-04</x:v>
      </x:c>
      <x:c r="B9" s="14" t="str">
        <x:v>RB-00</x:v>
      </x:c>
      <x:c r="C9" s="14" t="str">
        <x:v>Prove access and recovery</x:v>
      </x:c>
      <x:c r="D9" s="14" t="str">
        <x:v>Change owner</x:v>
      </x:c>
      <x:c r="E9" s="14" t="str">
        <x:v>Verify approved management path, protected credential custody, independent recovery access and data-safe recovery method. Expected: Recovery is usable for the failure this change can cause.</x:v>
      </x:c>
      <x:c r="F9" s="14" t="str">
        <x:v>Do not change the only working access path without the accepted recovery arrangement.</x:v>
      </x:c>
      <x:c r="G9" s="22" t="str"/>
      <x:c r="H9" s="22" t="str"/>
      <x:c r="I9" s="22" t="str">
        <x:v>Not run</x:v>
      </x:c>
      <x:c r="J9" s="22" t="str"/>
      <x:c r="K9" s="22" t="str"/>
    </x:row>
    <x:row r="10" ht="61" customHeight="1">
      <x:c r="A10" s="14" t="str">
        <x:v>RB-00-05</x:v>
      </x:c>
      <x:c r="B10" s="14" t="str">
        <x:v>RB-00</x:v>
      </x:c>
      <x:c r="C10" s="14" t="str">
        <x:v>Review competing work</x:v>
      </x:c>
      <x:c r="D10" s="14" t="str">
        <x:v>Change owner</x:v>
      </x:c>
      <x:c r="E10" s="14" t="str">
        <x:v>Check current owners, native tasks, locks, incidents and relevant resource/policy revisions. Expected: Single authoritative writer; no unresolved late task or stale approval.</x:v>
      </x:c>
      <x:c r="F10" s="14" t="str">
        <x:v>Pause and reconcile conflicts rather than overriding them.</x:v>
      </x:c>
      <x:c r="G10" s="22" t="str"/>
      <x:c r="H10" s="22" t="str"/>
      <x:c r="I10" s="22" t="str">
        <x:v>Not run</x:v>
      </x:c>
      <x:c r="J10" s="22" t="str"/>
      <x:c r="K10" s="22" t="str"/>
    </x:row>
    <x:row r="11" ht="48" customHeight="1">
      <x:c r="A11" s="14" t="str">
        <x:v>RB-00-06</x:v>
      </x:c>
      <x:c r="B11" s="14" t="str">
        <x:v>RB-00</x:v>
      </x:c>
      <x:c r="C11" s="14" t="str">
        <x:v>Issue ready-to-execute record</x:v>
      </x:c>
      <x:c r="D11" s="14" t="str">
        <x:v>Change owner</x:v>
      </x:c>
      <x:c r="E11" s="14" t="str">
        <x:v>Reviewer accepts the bounded MOP; record conditions and expiry. Expected: Execution may proceed only inside the issued scope.</x:v>
      </x:c>
      <x:c r="F11" s="14" t="str">
        <x:v>A kit checklist completion is not the authority decision.</x:v>
      </x:c>
      <x:c r="G11" s="22" t="str"/>
      <x:c r="H11" s="22" t="str"/>
      <x:c r="I11" s="22" t="str">
        <x:v>Not run</x:v>
      </x:c>
      <x:c r="J11" s="22" t="str"/>
      <x:c r="K11" s="22" t="str"/>
    </x:row>
    <x:row r="12" ht="48" customHeight="1">
      <x:c r="A12" s="14" t="str">
        <x:v>RB-01-01</x:v>
      </x:c>
      <x:c r="B12" s="14" t="str">
        <x:v>RB-01</x:v>
      </x:c>
      <x:c r="C12" s="14" t="str">
        <x:v>Verify staged inventory</x:v>
      </x:c>
      <x:c r="D12" s="14" t="str">
        <x:v>Foundation deployment lead</x:v>
      </x:c>
      <x:c r="E12" s="14" t="str">
        <x:v>Reconcile received hardware/software/entitlements against the accepted BOM and trusted source. Expected: Components and firmware/driver tuple are accounted for.</x:v>
      </x:c>
      <x:c r="F12" s="14" t="str">
        <x:v>Quarantine mismatched or unverified items; retain custody evidence.</x:v>
      </x:c>
      <x:c r="G12" s="22" t="str"/>
      <x:c r="H12" s="22" t="str"/>
      <x:c r="I12" s="22" t="str">
        <x:v>Not run</x:v>
      </x:c>
      <x:c r="J12" s="22" t="str"/>
      <x:c r="K12" s="22" t="str"/>
    </x:row>
    <x:row r="13" ht="61" customHeight="1">
      <x:c r="A13" s="14" t="str">
        <x:v>RB-01-02</x:v>
      </x:c>
      <x:c r="B13" s="14" t="str">
        <x:v>RB-01</x:v>
      </x:c>
      <x:c r="C13" s="14" t="str">
        <x:v>Accept physical installation</x:v>
      </x:c>
      <x:c r="D13" s="14" t="str">
        <x:v>Foundation deployment lead</x:v>
      </x:c>
      <x:c r="E13" s="14" t="str">
        <x:v>Qualified personnel complete approved manufacturer/facility installation and record links, racks, power and failure groups. Expected: Physical topology matches the released design.</x:v>
      </x:c>
      <x:c r="F13" s="14" t="str">
        <x:v>Do not improvise electrical, lifting or restricted facility procedures.</x:v>
      </x:c>
      <x:c r="G13" s="22" t="str"/>
      <x:c r="H13" s="22" t="str"/>
      <x:c r="I13" s="22" t="str">
        <x:v>Not run</x:v>
      </x:c>
      <x:c r="J13" s="22" t="str"/>
      <x:c r="K13" s="22" t="str"/>
    </x:row>
    <x:row r="14" ht="61" customHeight="1">
      <x:c r="A14" s="14" t="str">
        <x:v>RB-01-03</x:v>
      </x:c>
      <x:c r="B14" s="14" t="str">
        <x:v>RB-01</x:v>
      </x:c>
      <x:c r="C14" s="14" t="str">
        <x:v>Establish bootstrap trust</x:v>
      </x:c>
      <x:c r="D14" s="14" t="str">
        <x:v>Foundation deployment lead</x:v>
      </x:c>
      <x:c r="E14" s="14" t="str">
        <x:v>Use the supported restricted console/OOB process and controlled temporary identity; provide accepted minimum time/name/trust. Expected: Privileged access is restricted and recoverable without tenant routing.</x:v>
      </x:c>
      <x:c r="F14" s="14" t="str">
        <x:v>Do not enable broad workload management reachability to finish bootstrap.</x:v>
      </x:c>
      <x:c r="G14" s="22" t="str"/>
      <x:c r="H14" s="22" t="str"/>
      <x:c r="I14" s="22" t="str">
        <x:v>Not run</x:v>
      </x:c>
      <x:c r="J14" s="22" t="str"/>
      <x:c r="K14" s="22" t="str"/>
    </x:row>
    <x:row r="15" ht="61" customHeight="1">
      <x:c r="A15" s="14" t="str">
        <x:v>RB-01-04</x:v>
      </x:c>
      <x:c r="B15" s="14" t="str">
        <x:v>RB-01</x:v>
      </x:c>
      <x:c r="C15" s="14" t="str">
        <x:v>Commission transport</x:v>
      </x:c>
      <x:c r="D15" s="14" t="str">
        <x:v>Foundation deployment lead</x:v>
      </x:c>
      <x:c r="E15" s="14" t="str">
        <x:v>Apply the accepted native configuration through the authoritative tool; verify neighbors, allowed routes, MTU and attachment membership. Expected: Observed underlay/fabric matches the selected design.</x:v>
      </x:c>
      <x:c r="F15" s="14" t="str">
        <x:v>Unexpected route import or bypass: stop, isolate affected scope and follow supported recovery.</x:v>
      </x:c>
      <x:c r="G15" s="22" t="str"/>
      <x:c r="H15" s="22" t="str"/>
      <x:c r="I15" s="22" t="str">
        <x:v>Not run</x:v>
      </x:c>
      <x:c r="J15" s="22" t="str"/>
      <x:c r="K15" s="22" t="str"/>
    </x:row>
    <x:row r="16" ht="61" customHeight="1">
      <x:c r="A16" s="14" t="str">
        <x:v>RB-01-05</x:v>
      </x:c>
      <x:c r="B16" s="14" t="str">
        <x:v>RB-01</x:v>
      </x:c>
      <x:c r="C16" s="14" t="str">
        <x:v>Verify the failure boundary</x:v>
      </x:c>
      <x:c r="D16" s="14" t="str">
        <x:v>Foundation deployment lead</x:v>
      </x:c>
      <x:c r="E16" s="14" t="str">
        <x:v>Run only approved link/management fault observations with restoration procedures. Expected: Required access and enforcement survive as specified; interruption measured.</x:v>
      </x:c>
      <x:c r="F16" s="14" t="str">
        <x:v>No unapproved fault injection; do not treat denied traffic as proof of availability.</x:v>
      </x:c>
      <x:c r="G16" s="22" t="str"/>
      <x:c r="H16" s="22" t="str"/>
      <x:c r="I16" s="22" t="str">
        <x:v>Not run</x:v>
      </x:c>
      <x:c r="J16" s="22" t="str"/>
      <x:c r="K16" s="22" t="str"/>
    </x:row>
    <x:row r="17" ht="61" customHeight="1">
      <x:c r="A17" s="14" t="str">
        <x:v>RB-01-06</x:v>
      </x:c>
      <x:c r="B17" s="14" t="str">
        <x:v>RB-01</x:v>
      </x:c>
      <x:c r="C17" s="14" t="str">
        <x:v>Release G1 scope</x:v>
      </x:c>
      <x:c r="D17" s="14" t="str">
        <x:v>Foundation deployment lead</x:v>
      </x:c>
      <x:c r="E17" s="14" t="str">
        <x:v>Handover actual configuration, inventory, recovery copy, telemetry, capacity and limitations. Expected: Dependent platform work consumes accepted foundation capacity.</x:v>
      </x:c>
      <x:c r="F17" s="14" t="str">
        <x:v>Open mandatory foundation issue blocks affected consumption.</x:v>
      </x:c>
      <x:c r="G17" s="22" t="str"/>
      <x:c r="H17" s="22" t="str"/>
      <x:c r="I17" s="22" t="str">
        <x:v>Not run</x:v>
      </x:c>
      <x:c r="J17" s="22" t="str"/>
      <x:c r="K17" s="22" t="str"/>
    </x:row>
    <x:row r="18" ht="61" customHeight="1">
      <x:c r="A18" s="14" t="str">
        <x:v>RB-02-01</x:v>
      </x:c>
      <x:c r="B18" s="14" t="str">
        <x:v>RB-02</x:v>
      </x:c>
      <x:c r="C18" s="14" t="str">
        <x:v>Confirm native support</x:v>
      </x:c>
      <x:c r="D18" s="14" t="str">
        <x:v>Nutanix platform owner</x:v>
      </x:c>
      <x:c r="E18" s="14" t="str">
        <x:v>Resolve cluster, manager, Flow, provider/API and hardware compatibility and enabled feature scope. Expected: Every needed operation has support evidence or an accepted alternative.</x:v>
      </x:c>
      <x:c r="F18" s="14" t="str">
        <x:v>A v2 resource name or provider availability is not full support.</x:v>
      </x:c>
      <x:c r="G18" s="22" t="str"/>
      <x:c r="H18" s="22" t="str"/>
      <x:c r="I18" s="22" t="str">
        <x:v>Not run</x:v>
      </x:c>
      <x:c r="J18" s="22" t="str"/>
      <x:c r="K18" s="22" t="str"/>
    </x:row>
    <x:row r="19" ht="61" customHeight="1">
      <x:c r="A19" s="14" t="str">
        <x:v>RB-02-02</x:v>
      </x:c>
      <x:c r="B19" s="14" t="str">
        <x:v>RB-02</x:v>
      </x:c>
      <x:c r="C19" s="14" t="str">
        <x:v>Install under native ownership</x:v>
      </x:c>
      <x:c r="D19" s="14" t="str">
        <x:v>Nutanix platform owner</x:v>
      </x:c>
      <x:c r="E19" s="14" t="str">
        <x:v>Execute the approved vendor installation/lifecycle artifact with the protected management path. Expected: Native cluster and control services are healthy at the recorded versions.</x:v>
      </x:c>
      <x:c r="F19" s="14" t="str">
        <x:v>Use supported recovery on failure; never create a competing configuration owner.</x:v>
      </x:c>
      <x:c r="G19" s="22" t="str"/>
      <x:c r="H19" s="22" t="str"/>
      <x:c r="I19" s="22" t="str">
        <x:v>Not run</x:v>
      </x:c>
      <x:c r="J19" s="22" t="str"/>
      <x:c r="K19" s="22" t="str"/>
    </x:row>
    <x:row r="20" ht="61" customHeight="1">
      <x:c r="A20" s="14" t="str">
        <x:v>RB-02-03</x:v>
      </x:c>
      <x:c r="B20" s="14" t="str">
        <x:v>RB-02</x:v>
      </x:c>
      <x:c r="C20" s="14" t="str">
        <x:v>Establish eligible pools</x:v>
      </x:c>
      <x:c r="D20" s="14" t="str">
        <x:v>Nutanix platform owner</x:v>
      </x:c>
      <x:c r="E20" s="14" t="str">
        <x:v>Configure approved host/zone/co-residency eligibility, storage/controller membership, templates and protection integration. Expected: Placement and restart constraints cover actual shared dependencies.</x:v>
      </x:c>
      <x:c r="F20" s="14" t="str">
        <x:v>Do not treat separate guest networks as physical isolation.</x:v>
      </x:c>
      <x:c r="G20" s="22" t="str"/>
      <x:c r="H20" s="22" t="str"/>
      <x:c r="I20" s="22" t="str">
        <x:v>Not run</x:v>
      </x:c>
      <x:c r="J20" s="22" t="str"/>
      <x:c r="K20" s="22" t="str"/>
    </x:row>
    <x:row r="21" ht="61" customHeight="1">
      <x:c r="A21" s="14" t="str">
        <x:v>RB-02-04</x:v>
      </x:c>
      <x:c r="B21" s="14" t="str">
        <x:v>RB-02</x:v>
      </x:c>
      <x:c r="C21" s="14" t="str">
        <x:v>Commission virtual network capability</x:v>
      </x:c>
      <x:c r="D21" s="14" t="str">
        <x:v>Nutanix platform owner</x:v>
      </x:c>
      <x:c r="E21" s="14" t="str">
        <x:v>Prepare platform transport and isolated external handoff capacity; verify supported gateway/no-NAT/NAT choice and policy ownership. Expected: Independent domain routing and baseline controls precede endpoints.</x:v>
      </x:c>
      <x:c r="F21" s="14" t="str">
        <x:v>Shared connected external paths remain ineligible until isolation is proven.</x:v>
      </x:c>
      <x:c r="G21" s="22" t="str"/>
      <x:c r="H21" s="22" t="str"/>
      <x:c r="I21" s="22" t="str">
        <x:v>Not run</x:v>
      </x:c>
      <x:c r="J21" s="22" t="str"/>
      <x:c r="K21" s="22" t="str"/>
    </x:row>
    <x:row r="22" ht="61" customHeight="1">
      <x:c r="A22" s="14" t="str">
        <x:v>RB-02-05</x:v>
      </x:c>
      <x:c r="B22" s="14" t="str">
        <x:v>RB-02</x:v>
      </x:c>
      <x:c r="C22" s="14" t="str">
        <x:v>Create authorized disposable fixture</x:v>
      </x:c>
      <x:c r="D22" s="14" t="str">
        <x:v>Nutanix platform owner</x:v>
      </x:c>
      <x:c r="E22" s="14" t="str">
        <x:v>Under restricted test permission, realize the WD logical roles with site allocations and current mandatory policy. Expected: Fixture ownership is stable; partial resources remain denied.</x:v>
      </x:c>
      <x:c r="F22" s="14" t="str">
        <x:v>Do not use documentation addresses as actual allocations or introduce production data.</x:v>
      </x:c>
      <x:c r="G22" s="22" t="str"/>
      <x:c r="H22" s="22" t="str"/>
      <x:c r="I22" s="22" t="str">
        <x:v>Not run</x:v>
      </x:c>
      <x:c r="J22" s="22" t="str"/>
      <x:c r="K22" s="22" t="str"/>
    </x:row>
    <x:row r="23" ht="61" customHeight="1">
      <x:c r="A23" s="14" t="str">
        <x:v>RB-02-06</x:v>
      </x:c>
      <x:c r="B23" s="14" t="str">
        <x:v>RB-02</x:v>
      </x:c>
      <x:c r="C23" s="14" t="str">
        <x:v>Qualify and hand over</x:v>
      </x:c>
      <x:c r="D23" s="14" t="str">
        <x:v>Nutanix platform owner</x:v>
      </x:c>
      <x:c r="E23" s="14" t="str">
        <x:v>Observe relevant W14/CT outcomes, failure and restore; record actual resource create/update/adopt/delete handling. Expected: Accepted capability scope and limitations available for G2.</x:v>
      </x:c>
      <x:c r="F23" s="14" t="str">
        <x:v>Unrun or failed mandatory observation remains open.</x:v>
      </x:c>
      <x:c r="G23" s="22" t="str"/>
      <x:c r="H23" s="22" t="str"/>
      <x:c r="I23" s="22" t="str">
        <x:v>Not run</x:v>
      </x:c>
      <x:c r="J23" s="22" t="str"/>
      <x:c r="K23" s="22" t="str"/>
    </x:row>
    <x:row r="24" ht="61" customHeight="1">
      <x:c r="A24" s="14" t="str">
        <x:v>RB-03-01</x:v>
      </x:c>
      <x:c r="B24" s="14" t="str">
        <x:v>RB-03</x:v>
      </x:c>
      <x:c r="C24" s="14" t="str">
        <x:v>Confirm routing-mode compatibility</x:v>
      </x:c>
      <x:c r="D24" s="14" t="str">
        <x:v>VMware/NSX platform owners</x:v>
      </x:c>
      <x:c r="E24" s="14" t="str">
        <x:v>Validate exact Tier-1/upstream context, parent Tier-0/VRF and HA mode against installed-release documentation and KIT-TN-01. Expected: Selected modes and service functions are supported together.</x:v>
      </x:c>
      <x:c r="F24" s="14" t="str">
        <x:v>Do not change a live parent mode merely to satisfy this checklist; require a separate impact-reviewed change.</x:v>
      </x:c>
      <x:c r="G24" s="22" t="str"/>
      <x:c r="H24" s="22" t="str"/>
      <x:c r="I24" s="22" t="str">
        <x:v>Not run</x:v>
      </x:c>
      <x:c r="J24" s="22" t="str"/>
      <x:c r="K24" s="22" t="str"/>
    </x:row>
    <x:row r="25" ht="61" customHeight="1">
      <x:c r="A25" s="14" t="str">
        <x:v>RB-03-02</x:v>
      </x:c>
      <x:c r="B25" s="14" t="str">
        <x:v>RB-03</x:v>
      </x:c>
      <x:c r="C25" s="14" t="str">
        <x:v>Commission compute/storage management</x:v>
      </x:c>
      <x:c r="D25" s="14" t="str">
        <x:v>VMware/NSX platform owners</x:v>
      </x:c>
      <x:c r="E25" s="14" t="str">
        <x:v>Execute approved native vCenter/ESXi and storage installation, eligible pools, image/boot and management configuration. Expected: Actual placements and data dependencies match the LLD.</x:v>
      </x:c>
      <x:c r="F25" s="14" t="str">
        <x:v>Unsupported tuple or hidden shared management boundary blocks service acceptance.</x:v>
      </x:c>
      <x:c r="G25" s="22" t="str"/>
      <x:c r="H25" s="22" t="str"/>
      <x:c r="I25" s="22" t="str">
        <x:v>Not run</x:v>
      </x:c>
      <x:c r="J25" s="22" t="str"/>
      <x:c r="K25" s="22" t="str"/>
    </x:row>
    <x:row r="26" ht="61" customHeight="1">
      <x:c r="A26" s="14" t="str">
        <x:v>RB-03-03</x:v>
      </x:c>
      <x:c r="B26" s="14" t="str">
        <x:v>RB-03</x:v>
      </x:c>
      <x:c r="C26" s="14" t="str">
        <x:v>Commission NSX transport and edge</x:v>
      </x:c>
      <x:c r="D26" s="14" t="str">
        <x:v>VMware/NSX platform owners</x:v>
      </x:c>
      <x:c r="E26" s="14" t="str">
        <x:v>Establish approved managers, transport nodes/zones, Edge capacity, uplinks and isolated upstream contexts. Expected: Actual distributed and centralized routing roles are identifiable.</x:v>
      </x:c>
      <x:c r="F26" s="14" t="str">
        <x:v>No common unrestricted native route table substitutes for the security boundary.</x:v>
      </x:c>
      <x:c r="G26" s="22" t="str"/>
      <x:c r="H26" s="22" t="str"/>
      <x:c r="I26" s="22" t="str">
        <x:v>Not run</x:v>
      </x:c>
      <x:c r="J26" s="22" t="str"/>
      <x:c r="K26" s="22" t="str"/>
    </x:row>
    <x:row r="27" ht="61" customHeight="1">
      <x:c r="A27" s="14" t="str">
        <x:v>RB-03-04</x:v>
      </x:c>
      <x:c r="B27" s="14" t="str">
        <x:v>RB-03</x:v>
      </x:c>
      <x:c r="C27" s="14" t="str">
        <x:v>Protect mandatory endpoint and edge policy</x:v>
      </x:c>
      <x:c r="D27" s="14" t="str">
        <x:v>VMware/NSX platform owners</x:v>
      </x:c>
      <x:c r="E27" s="14" t="str">
        <x:v>Apply provider-owned groups, policy hierarchy and separately authorized ZIP relationships before workload connection. Expected: Same-host and cross-host controls cannot be widened by tenant mutation.</x:v>
      </x:c>
      <x:c r="F27" s="14" t="str">
        <x:v>Unexpected permissive default or override path keeps resources isolated.</x:v>
      </x:c>
      <x:c r="G27" s="22" t="str"/>
      <x:c r="H27" s="22" t="str"/>
      <x:c r="I27" s="22" t="str">
        <x:v>Not run</x:v>
      </x:c>
      <x:c r="J27" s="22" t="str"/>
      <x:c r="K27" s="22" t="str"/>
    </x:row>
    <x:row r="28" ht="61" customHeight="1">
      <x:c r="A28" s="14" t="str">
        <x:v>RB-03-05</x:v>
      </x:c>
      <x:c r="B28" s="14" t="str">
        <x:v>RB-03</x:v>
      </x:c>
      <x:c r="C28" s="14" t="str">
        <x:v>Run restricted fixture and faults</x:v>
      </x:c>
      <x:c r="D28" s="14" t="str">
        <x:v>VMware/NSX platform owners</x:v>
      </x:c>
      <x:c r="E28" s="14" t="str">
        <x:v>Build the accepted disposable domains/VMs/disks; observe native route propagation, return context, HA/restart and protection. Expected: Observed outcomes support the offered service and actual failure scope.</x:v>
      </x:c>
      <x:c r="F28" s="14" t="str">
        <x:v>No unsupported HA or live-migration promise; stop unsafe fault execution.</x:v>
      </x:c>
      <x:c r="G28" s="22" t="str"/>
      <x:c r="H28" s="22" t="str"/>
      <x:c r="I28" s="22" t="str">
        <x:v>Not run</x:v>
      </x:c>
      <x:c r="J28" s="22" t="str"/>
      <x:c r="K28" s="22" t="str"/>
    </x:row>
    <x:row r="29" ht="61" customHeight="1">
      <x:c r="A29" s="14" t="str">
        <x:v>RB-03-06</x:v>
      </x:c>
      <x:c r="B29" s="14" t="str">
        <x:v>RB-03</x:v>
      </x:c>
      <x:c r="C29" s="14" t="str">
        <x:v>Release scoped capability</x:v>
      </x:c>
      <x:c r="D29" s="14" t="str">
        <x:v>VMware/NSX platform owners</x:v>
      </x:c>
      <x:c r="E29" s="14" t="str">
        <x:v>Record vSphere/NSX ownership, provider lifecycle coverage, actual limits, limitations and evidence. Expected: G2 considers a concrete service/tuple rather than product names.</x:v>
      </x:c>
      <x:c r="F29" s="14" t="str">
        <x:v>Missing exact evidence prevents qualification.</x:v>
      </x:c>
      <x:c r="G29" s="22" t="str"/>
      <x:c r="H29" s="22" t="str"/>
      <x:c r="I29" s="22" t="str">
        <x:v>Not run</x:v>
      </x:c>
      <x:c r="J29" s="22" t="str"/>
      <x:c r="K29" s="22" t="str"/>
    </x:row>
    <x:row r="30" ht="61" customHeight="1">
      <x:c r="A30" s="14" t="str">
        <x:v>RB-04-01</x:v>
      </x:c>
      <x:c r="B30" s="14" t="str">
        <x:v>RB-04</x:v>
      </x:c>
      <x:c r="C30" s="14" t="str">
        <x:v>Resolve selected services and backend</x:v>
      </x:c>
      <x:c r="D30" s="14" t="str">
        <x:v>OpenStack distribution/service owners</x:v>
      </x:c>
      <x:c r="E30" s="14" t="str">
        <x:v>Record Keystone, Nova/Placement, Neutron backend, Glance/Cinder and all offered data/trust/protection services. Expected: No unsupported feature is inferred from generic OpenStack naming.</x:v>
      </x:c>
      <x:c r="F30" s="14" t="str">
        <x:v>Distribution or backend uncertainty blocks affected design.</x:v>
      </x:c>
      <x:c r="G30" s="22" t="str"/>
      <x:c r="H30" s="22" t="str"/>
      <x:c r="I30" s="22" t="str">
        <x:v>Not run</x:v>
      </x:c>
      <x:c r="J30" s="22" t="str"/>
      <x:c r="K30" s="22" t="str"/>
    </x:row>
    <x:row r="31" ht="61" customHeight="1">
      <x:c r="A31" s="14" t="str">
        <x:v>RB-04-02</x:v>
      </x:c>
      <x:c r="B31" s="14" t="str">
        <x:v>RB-04</x:v>
      </x:c>
      <x:c r="C31" s="14" t="str">
        <x:v>Install using supported lifecycle tooling</x:v>
      </x:c>
      <x:c r="D31" s="14" t="str">
        <x:v>OpenStack distribution/service owners</x:v>
      </x:c>
      <x:c r="E31" s="14" t="str">
        <x:v>Deploy the approved controllers/databases/messaging, compute and backend infrastructure under native ownership. Expected: Control/data dependencies and quorum are observed.</x:v>
      </x:c>
      <x:c r="F31" s="14" t="str">
        <x:v>Do not manage Neutron-owned OVN objects through a competing raw writer.</x:v>
      </x:c>
      <x:c r="G31" s="22" t="str"/>
      <x:c r="H31" s="22" t="str"/>
      <x:c r="I31" s="22" t="str">
        <x:v>Not run</x:v>
      </x:c>
      <x:c r="J31" s="22" t="str"/>
      <x:c r="K31" s="22" t="str"/>
    </x:row>
    <x:row r="32" ht="61" customHeight="1">
      <x:c r="A32" s="14" t="str">
        <x:v>RB-04-03</x:v>
      </x:c>
      <x:c r="B32" s="14" t="str">
        <x:v>RB-04</x:v>
      </x:c>
      <x:c r="C32" s="14" t="str">
        <x:v>Enforce placement and data boundaries</x:v>
      </x:c>
      <x:c r="D32" s="14" t="str">
        <x:v>OpenStack distribution/service owners</x:v>
      </x:c>
      <x:c r="E32" s="14" t="str">
        <x:v>Configure actual scheduler/aggregate/trait eligibility, volume backend classes and image/key controls. Expected: Tenant, zone and restart/restore constraints are effective.</x:v>
      </x:c>
      <x:c r="F32" s="14" t="str">
        <x:v>Labels without enforced placement do not satisfy isolation.</x:v>
      </x:c>
      <x:c r="G32" s="22" t="str"/>
      <x:c r="H32" s="22" t="str"/>
      <x:c r="I32" s="22" t="str">
        <x:v>Not run</x:v>
      </x:c>
      <x:c r="J32" s="22" t="str"/>
      <x:c r="K32" s="22" t="str"/>
    </x:row>
    <x:row r="33" ht="74" customHeight="1">
      <x:c r="A33" s="14" t="str">
        <x:v>RB-04-04</x:v>
      </x:c>
      <x:c r="B33" s="14" t="str">
        <x:v>RB-04</x:v>
      </x:c>
      <x:c r="C33" s="14" t="str">
        <x:v>Protect network mutation authority</x:v>
      </x:c>
      <x:c r="D33" s="14" t="str">
        <x:v>OpenStack distribution/service owners</x:v>
      </x:c>
      <x:c r="E33" s="14" t="str">
        <x:v>Implement provider ownership of base mandatory groups, port security, address pairs, routers and external attachments through the supported role model. Expected: Tenant permissions cannot attach an additive allow or disable required protection.</x:v>
      </x:c>
      <x:c r="F33" s="14" t="str">
        <x:v>Unbounded tenant editing is not base-service qualification.</x:v>
      </x:c>
      <x:c r="G33" s="22" t="str"/>
      <x:c r="H33" s="22" t="str"/>
      <x:c r="I33" s="22" t="str">
        <x:v>Not run</x:v>
      </x:c>
      <x:c r="J33" s="22" t="str"/>
      <x:c r="K33" s="22" t="str"/>
    </x:row>
    <x:row r="34" ht="74" customHeight="1">
      <x:c r="A34" s="14" t="str">
        <x:v>RB-04-05</x:v>
      </x:c>
      <x:c r="B34" s="14" t="str">
        <x:v>RB-04</x:v>
      </x:c>
      <x:c r="C34" s="14" t="str">
        <x:v>Verify domain and service paths</x:v>
      </x:c>
      <x:c r="D34" s="14" t="str">
        <x:v>OpenStack distribution/service owners</x:v>
      </x:c>
      <x:c r="E34" s="14" t="str">
        <x:v>Build restricted distinct domains and handoffs; observe distributed routes, gateways, default egress normalization, metadata/boot services and replies. Expected: Approved services work; connected/provider/floating-address shortcuts do not bypass controls.</x:v>
      </x:c>
      <x:c r="F34" s="14" t="str">
        <x:v>Avoid blanket deny that hides broken initialization or IPv6 operation.</x:v>
      </x:c>
      <x:c r="G34" s="22" t="str"/>
      <x:c r="H34" s="22" t="str"/>
      <x:c r="I34" s="22" t="str">
        <x:v>Not run</x:v>
      </x:c>
      <x:c r="J34" s="22" t="str"/>
      <x:c r="K34" s="22" t="str"/>
    </x:row>
    <x:row r="35" ht="61" customHeight="1">
      <x:c r="A35" s="14" t="str">
        <x:v>RB-04-06</x:v>
      </x:c>
      <x:c r="B35" s="14" t="str">
        <x:v>RB-04</x:v>
      </x:c>
      <x:c r="C35" s="14" t="str">
        <x:v>Qualify lifecycle and recovery</x:v>
      </x:c>
      <x:c r="D35" s="14" t="str">
        <x:v>OpenStack distribution/service owners</x:v>
      </x:c>
      <x:c r="E35" s="14" t="str">
        <x:v>Observe supported create/update/adopt/delete, task cleanup, gateway/host failure, Cinder isolation and restore. Expected: Concrete tuple/service accepted or explicitly limited at G2.</x:v>
      </x:c>
      <x:c r="F35" s="14" t="str">
        <x:v>Unknown residual ports/routes/grants remain defects.</x:v>
      </x:c>
      <x:c r="G35" s="22" t="str"/>
      <x:c r="H35" s="22" t="str"/>
      <x:c r="I35" s="22" t="str">
        <x:v>Not run</x:v>
      </x:c>
      <x:c r="J35" s="22" t="str"/>
      <x:c r="K35" s="22" t="str"/>
    </x:row>
    <x:row r="36" ht="61" customHeight="1">
      <x:c r="A36" s="14" t="str">
        <x:v>RB-05-01</x:v>
      </x:c>
      <x:c r="B36" s="14" t="str">
        <x:v>RB-05</x:v>
      </x:c>
      <x:c r="C36" s="14" t="str">
        <x:v>Create owned security capacity</x:v>
      </x:c>
      <x:c r="D36" s="14" t="str">
        <x:v>Security-edge and shared-service owners</x:v>
      </x:c>
      <x:c r="E36" s="14" t="str">
        <x:v>Use the selected supported edge mechanism to instantiate isolated contexts/handoffs and separately protected management. Expected: Only permitted domains and routes belong to each context.</x:v>
      </x:c>
      <x:c r="F36" s="14" t="str">
        <x:v>Do not import unrelated tenant routes or expose admin interfaces on the consumption path.</x:v>
      </x:c>
      <x:c r="G36" s="22" t="str"/>
      <x:c r="H36" s="22" t="str"/>
      <x:c r="I36" s="22" t="str">
        <x:v>Not run</x:v>
      </x:c>
      <x:c r="J36" s="22" t="str"/>
      <x:c r="K36" s="22" t="str"/>
    </x:row>
    <x:row r="37" ht="61" customHeight="1">
      <x:c r="A37" s="14" t="str">
        <x:v>RB-05-02</x:v>
      </x:c>
      <x:c r="B37" s="14" t="str">
        <x:v>RB-05</x:v>
      </x:c>
      <x:c r="C37" s="14" t="str">
        <x:v>Establish forward/reply paths</x:v>
      </x:c>
      <x:c r="D37" s="14" t="str">
        <x:v>Security-edge and shared-service owners</x:v>
      </x:c>
      <x:c r="E37" s="14" t="str">
        <x:v>Configure accepted prefix and source policy, native gateway handoffs and service-side origin-specific replies. Expected: No connected, neighbour, NAT or alternate default path bypasses enforcement.</x:v>
      </x:c>
      <x:c r="F37" s="14" t="str">
        <x:v>Wrong or missing reply path remains unavailable rather than being masked by a broad route.</x:v>
      </x:c>
      <x:c r="G37" s="22" t="str"/>
      <x:c r="H37" s="22" t="str"/>
      <x:c r="I37" s="22" t="str">
        <x:v>Not run</x:v>
      </x:c>
      <x:c r="J37" s="22" t="str"/>
      <x:c r="K37" s="22" t="str"/>
    </x:row>
    <x:row r="38" ht="61" customHeight="1">
      <x:c r="A38" s="14" t="str">
        <x:v>RB-05-03</x:v>
      </x:c>
      <x:c r="B38" s="14" t="str">
        <x:v>RB-05</x:v>
      </x:c>
      <x:c r="C38" s="14" t="str">
        <x:v>Publish named service consumption</x:v>
      </x:c>
      <x:c r="D38" s="14" t="str">
        <x:v>Security-edge and shared-service owners</x:v>
      </x:c>
      <x:c r="E38" s="14" t="str">
        <x:v>Establish actual DNS/time/repository/log/identity endpoints, entitled operations and scoped initiators. Expected: Selected complete protocols work, including applicable DNS TCP/UDP behaviour.</x:v>
      </x:c>
      <x:c r="F38" s="14" t="str">
        <x:v>No broad provider subnet or administrative grant for a service binding.</x:v>
      </x:c>
      <x:c r="G38" s="22" t="str"/>
      <x:c r="H38" s="22" t="str"/>
      <x:c r="I38" s="22" t="str">
        <x:v>Not run</x:v>
      </x:c>
      <x:c r="J38" s="22" t="str"/>
      <x:c r="K38" s="22" t="str"/>
    </x:row>
    <x:row r="39" ht="61" customHeight="1">
      <x:c r="A39" s="14" t="str">
        <x:v>RB-05-04</x:v>
      </x:c>
      <x:c r="B39" s="14" t="str">
        <x:v>RB-05</x:v>
      </x:c>
      <x:c r="C39" s="14" t="str">
        <x:v>Establish key and protection custody</x:v>
      </x:c>
      <x:c r="D39" s="14" t="str">
        <x:v>Security-edge and shared-service owners</x:v>
      </x:c>
      <x:c r="E39" s="14" t="str">
        <x:v>Identify actual key-service client, capture API, data mover, protected copies, catalogue and held-data obligations. Expected: Tenant workloads do not inherit platform capture or key-destruction privileges.</x:v>
      </x:c>
      <x:c r="F39" s="14" t="str">
        <x:v>Missing key/catalogue recovery or independent-copy protection blocks the promise.</x:v>
      </x:c>
      <x:c r="G39" s="22" t="str"/>
      <x:c r="H39" s="22" t="str"/>
      <x:c r="I39" s="22" t="str">
        <x:v>Not run</x:v>
      </x:c>
      <x:c r="J39" s="22" t="str"/>
      <x:c r="K39" s="22" t="str"/>
    </x:row>
    <x:row r="40" ht="61" customHeight="1">
      <x:c r="A40" s="14" t="str">
        <x:v>RB-05-05</x:v>
      </x:c>
      <x:c r="B40" s="14" t="str">
        <x:v>RB-05</x:v>
      </x:c>
      <x:c r="C40" s="14" t="str">
        <x:v>Observe continuity and telemetry</x:v>
      </x:c>
      <x:c r="D40" s="14" t="str">
        <x:v>Security-edge and shared-service owners</x:v>
      </x:c>
      <x:c r="E40" s="14" t="str">
        <x:v>Test approved service/edge outages and restore paths; verify origin attribution, buffering and actual surviving capacity. Expected: Security and service interruption both measured without fallback bypass.</x:v>
      </x:c>
      <x:c r="F40" s="14" t="str">
        <x:v>No unsafe fault or reliance on untested caches.</x:v>
      </x:c>
      <x:c r="G40" s="22" t="str"/>
      <x:c r="H40" s="22" t="str"/>
      <x:c r="I40" s="22" t="str">
        <x:v>Not run</x:v>
      </x:c>
      <x:c r="J40" s="22" t="str"/>
      <x:c r="K40" s="22" t="str"/>
    </x:row>
    <x:row r="41" ht="61" customHeight="1">
      <x:c r="A41" s="14" t="str">
        <x:v>RB-05-06</x:v>
      </x:c>
      <x:c r="B41" s="14" t="str">
        <x:v>RB-05</x:v>
      </x:c>
      <x:c r="C41" s="14" t="str">
        <x:v>Accept service handoffs</x:v>
      </x:c>
      <x:c r="D41" s="14" t="str">
        <x:v>Security-edge and shared-service owners</x:v>
      </x:c>
      <x:c r="E41" s="14" t="str">
        <x:v>Publish actual endpoints, permitted operations, owners, versions, limits and dependencies to downstream packages. Expected: P2/P3 offered capability is accepted before routine consumption.</x:v>
      </x:c>
      <x:c r="F41" s="14" t="str">
        <x:v>Incomplete mandatory service blocks dependent activation.</x:v>
      </x:c>
      <x:c r="G41" s="22" t="str"/>
      <x:c r="H41" s="22" t="str"/>
      <x:c r="I41" s="22" t="str">
        <x:v>Not run</x:v>
      </x:c>
      <x:c r="J41" s="22" t="str"/>
      <x:c r="K41" s="22" t="str"/>
    </x:row>
    <x:row r="42" ht="61" customHeight="1">
      <x:c r="A42" s="14" t="str">
        <x:v>RB-06-01</x:v>
      </x:c>
      <x:c r="B42" s="14" t="str">
        <x:v>RB-06</x:v>
      </x:c>
      <x:c r="C42" s="14" t="str">
        <x:v>Choose the authorized path</x:v>
      </x:c>
      <x:c r="D42" s="14" t="str">
        <x:v>Tenant deployment and acceptance owners</x:v>
      </x:c>
      <x:c r="E42" s="14" t="str">
        <x:v>Record restricted fixture permission or production prerequisites, exact service envelope and tenant owner. Expected: No production permission inferred from test authorization.</x:v>
      </x:c>
      <x:c r="F42" s="14" t="str">
        <x:v>Missing actual authorization stops the affected operation.</x:v>
      </x:c>
      <x:c r="G42" s="22" t="str"/>
      <x:c r="H42" s="22" t="str"/>
      <x:c r="I42" s="22" t="str">
        <x:v>Not run</x:v>
      </x:c>
      <x:c r="J42" s="22" t="str"/>
      <x:c r="K42" s="22" t="str"/>
    </x:row>
    <x:row r="43" ht="61" customHeight="1">
      <x:c r="A43" s="14" t="str">
        <x:v>RB-06-02</x:v>
      </x:c>
      <x:c r="B43" s="14" t="str">
        <x:v>RB-06</x:v>
      </x:c>
      <x:c r="C43" s="14" t="str">
        <x:v>Reserve eligible resources</x:v>
      </x:c>
      <x:c r="D43" s="14" t="str">
        <x:v>Tenant deployment and acceptance owners</x:v>
      </x:c>
      <x:c r="E43" s="14" t="str">
        <x:v>Allocate authoritative addresses, capacity, storage and attachment/security slots; establish tenant/domain scope. Expected: One owned reservation per resource; actual allocation recorded.</x:v>
      </x:c>
      <x:c r="F43" s="14" t="str">
        <x:v>No guessed values or use of excluded capacity.</x:v>
      </x:c>
      <x:c r="G43" s="22" t="str"/>
      <x:c r="H43" s="22" t="str"/>
      <x:c r="I43" s="22" t="str">
        <x:v>Not run</x:v>
      </x:c>
      <x:c r="J43" s="22" t="str"/>
      <x:c r="K43" s="22" t="str"/>
    </x:row>
    <x:row r="44" ht="61" customHeight="1">
      <x:c r="A44" s="14" t="str">
        <x:v>RB-06-03</x:v>
      </x:c>
      <x:c r="B44" s="14" t="str">
        <x:v>RB-06</x:v>
      </x:c>
      <x:c r="C44" s="14" t="str">
        <x:v>Build denied topology</x:v>
      </x:c>
      <x:c r="D44" s="14" t="str">
        <x:v>Tenant deployment and acceptance owners</x:v>
      </x:c>
      <x:c r="E44" s="14" t="str">
        <x:v>Create owned networks, gateways and baseline policy; coordinate paired edge routes/flows under the edge owner. Expected: No endpoint is exposed before mandatory enforcement.</x:v>
      </x:c>
      <x:c r="F44" s="14" t="str">
        <x:v>Unverified partial state remains disconnected/quarantined.</x:v>
      </x:c>
      <x:c r="G44" s="22" t="str"/>
      <x:c r="H44" s="22" t="str"/>
      <x:c r="I44" s="22" t="str">
        <x:v>Not run</x:v>
      </x:c>
      <x:c r="J44" s="22" t="str"/>
      <x:c r="K44" s="22" t="str"/>
    </x:row>
    <x:row r="45" ht="61" customHeight="1">
      <x:c r="A45" s="14" t="str">
        <x:v>RB-06-04</x:v>
      </x:c>
      <x:c r="B45" s="14" t="str">
        <x:v>RB-06</x:v>
      </x:c>
      <x:c r="C45" s="14" t="str">
        <x:v>Create protected resources</x:v>
      </x:c>
      <x:c r="D45" s="14" t="str">
        <x:v>Tenant deployment and acceptance owners</x:v>
      </x:c>
      <x:c r="E45" s="14" t="str">
        <x:v>Instantiate approved images/VMs/disks in eligible pools, then names, service identities, telemetry and protection. Expected: Actual attachments and client/admin boundaries match the LLD.</x:v>
      </x:c>
      <x:c r="F45" s="14" t="str">
        <x:v>Do not weaken placement or data custody to complete the request.</x:v>
      </x:c>
      <x:c r="G45" s="22" t="str"/>
      <x:c r="H45" s="22" t="str"/>
      <x:c r="I45" s="22" t="str">
        <x:v>Not run</x:v>
      </x:c>
      <x:c r="J45" s="22" t="str"/>
      <x:c r="K45" s="22" t="str"/>
    </x:row>
    <x:row r="46" ht="61" customHeight="1">
      <x:c r="A46" s="14" t="str">
        <x:v>RB-06-05</x:v>
      </x:c>
      <x:c r="B46" s="14" t="str">
        <x:v>RB-06</x:v>
      </x:c>
      <x:c r="C46" s="14" t="str">
        <x:v>Observe applicable outcomes</x:v>
      </x:c>
      <x:c r="D46" s="14" t="str">
        <x:v>Tenant deployment and acceptance owners</x:v>
      </x:c>
      <x:c r="E46" s="14" t="str">
        <x:v>Run scoped healthy-control, permitted/denied, resource/role, family and recovery observations. Expected: Actual results and artifacts recorded separately from expected outcomes.</x:v>
      </x:c>
      <x:c r="F46" s="14" t="str">
        <x:v>Unknown/failed mandatory results remain open, not passes.</x:v>
      </x:c>
      <x:c r="G46" s="22" t="str"/>
      <x:c r="H46" s="22" t="str"/>
      <x:c r="I46" s="22" t="str">
        <x:v>Not run</x:v>
      </x:c>
      <x:c r="J46" s="22" t="str"/>
      <x:c r="K46" s="22" t="str"/>
    </x:row>
    <x:row r="47" ht="61" customHeight="1">
      <x:c r="A47" s="14" t="str">
        <x:v>RB-06-06</x:v>
      </x:c>
      <x:c r="B47" s="14" t="str">
        <x:v>RB-06</x:v>
      </x:c>
      <x:c r="C47" s="14" t="str">
        <x:v>Complete initial readiness and activate</x:v>
      </x:c>
      <x:c r="D47" s="14" t="str">
        <x:v>Tenant deployment and acceptance owners</x:v>
      </x:c>
      <x:c r="E47" s="14" t="str">
        <x:v>For production, verify G0/G1/G2/current tests, applicable G4 initial and valid operating authority; execute the approved exposure change and verify it. Expected: Only the accepted service scope becomes active.</x:v>
      </x:c>
      <x:c r="F47" s="14" t="str">
        <x:v>Failed live verification withdraws exposure without destroying data.</x:v>
      </x:c>
      <x:c r="G47" s="22" t="str"/>
      <x:c r="H47" s="22" t="str"/>
      <x:c r="I47" s="22" t="str">
        <x:v>Not run</x:v>
      </x:c>
      <x:c r="J47" s="22" t="str"/>
      <x:c r="K47" s="22" t="str"/>
    </x:row>
    <x:row r="48" ht="61" customHeight="1">
      <x:c r="A48" s="14" t="str">
        <x:v>RB-06-07</x:v>
      </x:c>
      <x:c r="B48" s="14" t="str">
        <x:v>RB-06</x:v>
      </x:c>
      <x:c r="C48" s="14" t="str">
        <x:v>Close or retain the fixture</x:v>
      </x:c>
      <x:c r="D48" s="14" t="str">
        <x:v>Tenant deployment and acceptance owners</x:v>
      </x:c>
      <x:c r="E48" s="14" t="str">
        <x:v>Retire disposable test resources and reconcile reservations or formally accept the authorized continuing scope. Expected: No stale test permissions or orphan resource.</x:v>
      </x:c>
      <x:c r="F48" s="14" t="str">
        <x:v>Hold required evidence/data; do not blind-destroy shared resources.</x:v>
      </x:c>
      <x:c r="G48" s="22" t="str"/>
      <x:c r="H48" s="22" t="str"/>
      <x:c r="I48" s="22" t="str">
        <x:v>Not run</x:v>
      </x:c>
      <x:c r="J48" s="22" t="str"/>
      <x:c r="K48" s="22" t="str"/>
    </x:row>
    <x:row r="49" ht="61" customHeight="1">
      <x:c r="A49" s="14" t="str">
        <x:v>RB-07-01</x:v>
      </x:c>
      <x:c r="B49" s="14" t="str">
        <x:v>RB-07</x:v>
      </x:c>
      <x:c r="C49" s="14" t="str">
        <x:v>Stabilize ownership</x:v>
      </x:c>
      <x:c r="D49" s="14" t="str">
        <x:v>Current authoritative resource owner</x:v>
      </x:c>
      <x:c r="E49" s="14" t="str">
        <x:v>Pause competing changes and establish the actual writer, accepted tasks and incident restrictions. Expected: No second executor makes assumptions about task cancellation.</x:v>
      </x:c>
      <x:c r="F49" s="14" t="str">
        <x:v>Do not force-unlock until writer cessation is established by the approved recovery procedure.</x:v>
      </x:c>
      <x:c r="G49" s="22" t="str"/>
      <x:c r="H49" s="22" t="str"/>
      <x:c r="I49" s="22" t="str">
        <x:v>Not run</x:v>
      </x:c>
      <x:c r="J49" s="22" t="str"/>
      <x:c r="K49" s="22" t="str"/>
    </x:row>
    <x:row r="50" ht="48" customHeight="1">
      <x:c r="A50" s="14" t="str">
        <x:v>RB-07-02</x:v>
      </x:c>
      <x:c r="B50" s="14" t="str">
        <x:v>RB-07</x:v>
      </x:c>
      <x:c r="C50" s="14" t="str">
        <x:v>Discover actual effects</x:v>
      </x:c>
      <x:c r="D50" s="14" t="str">
        <x:v>Current authoritative resource owner</x:v>
      </x:c>
      <x:c r="E50" s="14" t="str">
        <x:v>Compare native resources, addressing, routes, data and state against the last confirmed step. Expected: Unknown outcomes become explicit owned findings.</x:v>
      </x:c>
      <x:c r="F50" s="14" t="str">
        <x:v>Do not replay create blindly or infer failure from a lost response.</x:v>
      </x:c>
      <x:c r="G50" s="22" t="str"/>
      <x:c r="H50" s="22" t="str"/>
      <x:c r="I50" s="22" t="str">
        <x:v>Not run</x:v>
      </x:c>
      <x:c r="J50" s="22" t="str"/>
      <x:c r="K50" s="22" t="str"/>
    </x:row>
    <x:row r="51" ht="61" customHeight="1">
      <x:c r="A51" s="14" t="str">
        <x:v>RB-07-03</x:v>
      </x:c>
      <x:c r="B51" s="14" t="str">
        <x:v>RB-07</x:v>
      </x:c>
      <x:c r="C51" s="14" t="str">
        <x:v>Choose safe repair</x:v>
      </x:c>
      <x:c r="D51" s="14" t="str">
        <x:v>Current authoritative resource owner</x:v>
      </x:c>
      <x:c r="E51" s="14" t="str">
        <x:v>Owner approves resume, supported rollback, forward repair or isolated operator intervention with data effects. Expected: Shared resources and newly written/held data are preserved.</x:v>
      </x:c>
      <x:c r="F51" s="14" t="str">
        <x:v>No generic compensation may destroy required data.</x:v>
      </x:c>
      <x:c r="G51" s="22" t="str"/>
      <x:c r="H51" s="22" t="str"/>
      <x:c r="I51" s="22" t="str">
        <x:v>Not run</x:v>
      </x:c>
      <x:c r="J51" s="22" t="str"/>
      <x:c r="K51" s="22" t="str"/>
    </x:row>
    <x:row r="52" ht="61" customHeight="1">
      <x:c r="A52" s="14" t="str">
        <x:v>RB-07-04</x:v>
      </x:c>
      <x:c r="B52" s="14" t="str">
        <x:v>RB-07</x:v>
      </x:c>
      <x:c r="C52" s="14" t="str">
        <x:v>Revalidate change basis</x:v>
      </x:c>
      <x:c r="D52" s="14" t="str">
        <x:v>Current authoritative resource owner</x:v>
      </x:c>
      <x:c r="E52" s="14" t="str">
        <x:v>Replan affected scope when input, policy, state or authority changed; reconcile supported brownfield ownership/import. Expected: No stale plan or dual controller ownership.</x:v>
      </x:c>
      <x:c r="F52" s="14" t="str">
        <x:v>Import alone is neither compliance nor permission for replacement.</x:v>
      </x:c>
      <x:c r="G52" s="22" t="str"/>
      <x:c r="H52" s="22" t="str"/>
      <x:c r="I52" s="22" t="str">
        <x:v>Not run</x:v>
      </x:c>
      <x:c r="J52" s="22" t="str"/>
      <x:c r="K52" s="22" t="str"/>
    </x:row>
    <x:row r="53" ht="61" customHeight="1">
      <x:c r="A53" s="14" t="str">
        <x:v>RB-07-05</x:v>
      </x:c>
      <x:c r="B53" s="14" t="str">
        <x:v>RB-07</x:v>
      </x:c>
      <x:c r="C53" s="14" t="str">
        <x:v>Execute and observe</x:v>
      </x:c>
      <x:c r="D53" s="14" t="str">
        <x:v>Current authoritative resource owner</x:v>
      </x:c>
      <x:c r="E53" s="14" t="str">
        <x:v>Run approved scoped repair; retain containment until its authority releases it; verify impacted paths/data. Expected: Actual desired and realized state converges with supporting evidence.</x:v>
      </x:c>
      <x:c r="F53" s="14" t="str">
        <x:v>Unexpected effects stop further changes and trigger escalation.</x:v>
      </x:c>
      <x:c r="G53" s="22" t="str"/>
      <x:c r="H53" s="22" t="str"/>
      <x:c r="I53" s="22" t="str">
        <x:v>Not run</x:v>
      </x:c>
      <x:c r="J53" s="22" t="str"/>
      <x:c r="K53" s="22" t="str"/>
    </x:row>
    <x:row r="54" ht="48" customHeight="1">
      <x:c r="A54" s="14" t="str">
        <x:v>RB-07-06</x:v>
      </x:c>
      <x:c r="B54" s="14" t="str">
        <x:v>RB-07</x:v>
      </x:c>
      <x:c r="C54" s="14" t="str">
        <x:v>Close and improve</x:v>
      </x:c>
      <x:c r="D54" s="14" t="str">
        <x:v>Current authoritative resource owner</x:v>
      </x:c>
      <x:c r="E54" s="14" t="str">
        <x:v>Update as-built, source, defects, reservations, custody and runbook lessons. Expected: Unresolved effects remain visible and owned.</x:v>
      </x:c>
      <x:c r="F54" s="14" t="str">
        <x:v>Do not rewrite historical approval or hide retained exceptions.</x:v>
      </x:c>
      <x:c r="G54" s="22" t="str"/>
      <x:c r="H54" s="22" t="str"/>
      <x:c r="I54" s="22" t="str">
        <x:v>Not run</x:v>
      </x:c>
      <x:c r="J54" s="22" t="str"/>
      <x:c r="K54" s="22" t="str"/>
    </x:row>
    <x:row r="55" ht="61" customHeight="1">
      <x:c r="A55" s="14" t="str">
        <x:v>RB-08-01</x:v>
      </x:c>
      <x:c r="B55" s="14" t="str">
        <x:v>RB-08</x:v>
      </x:c>
      <x:c r="C55" s="14" t="str">
        <x:v>Declare scope and writer authority</x:v>
      </x:c>
      <x:c r="D55" s="14" t="str">
        <x:v>Data and recovery authorities</x:v>
      </x:c>
      <x:c r="E55" s="14" t="str">
        <x:v>Identify failed/source/target systems, consistency requirements and permitted recovery action. Fence ambiguous writers by the accepted mechanism. Expected: One authorized write authority and protected evidence.</x:v>
      </x:c>
      <x:c r="F55" s="14" t="str">
        <x:v>Do not promote a second writer while ownership is unresolved.</x:v>
      </x:c>
      <x:c r="G55" s="22" t="str"/>
      <x:c r="H55" s="22" t="str"/>
      <x:c r="I55" s="22" t="str">
        <x:v>Not run</x:v>
      </x:c>
      <x:c r="J55" s="22" t="str"/>
      <x:c r="K55" s="22" t="str"/>
    </x:row>
    <x:row r="56" ht="61" customHeight="1">
      <x:c r="A56" s="14" t="str">
        <x:v>RB-08-02</x:v>
      </x:c>
      <x:c r="B56" s="14" t="str">
        <x:v>RB-08</x:v>
      </x:c>
      <x:c r="C56" s="14" t="str">
        <x:v>Restore minimum dependencies</x:v>
      </x:c>
      <x:c r="D56" s="14" t="str">
        <x:v>Data and recovery authorities</x:v>
      </x:c>
      <x:c r="E56" s="14" t="str">
        <x:v>Recover approved administration, trust, name/time, keys/catalogue and source/configuration access. Expected: Recovery path does not depend solely on the failed platform.</x:v>
      </x:c>
      <x:c r="F56" s="14" t="str">
        <x:v>No plaintext, replacement-key or unrestricted privileged fallback.</x:v>
      </x:c>
      <x:c r="G56" s="22" t="str"/>
      <x:c r="H56" s="22" t="str"/>
      <x:c r="I56" s="22" t="str">
        <x:v>Not run</x:v>
      </x:c>
      <x:c r="J56" s="22" t="str"/>
      <x:c r="K56" s="22" t="str"/>
    </x:row>
    <x:row r="57" ht="48" customHeight="1">
      <x:c r="A57" s="14" t="str">
        <x:v>RB-08-03</x:v>
      </x:c>
      <x:c r="B57" s="14" t="str">
        <x:v>RB-08</x:v>
      </x:c>
      <x:c r="C57" s="14" t="str">
        <x:v>Prepare isolated target</x:v>
      </x:c>
      <x:c r="D57" s="14" t="str">
        <x:v>Data and recovery authorities</x:v>
      </x:c>
      <x:c r="E57" s="14" t="str">
        <x:v>Establish eligible compute/data/network boundaries and required services under deny. Expected: Target supports required image/device/data/identity semantics.</x:v>
      </x:c>
      <x:c r="F57" s="14" t="str">
        <x:v>Unsupported conversion or co-residency blocks target use.</x:v>
      </x:c>
      <x:c r="G57" s="22" t="str"/>
      <x:c r="H57" s="22" t="str"/>
      <x:c r="I57" s="22" t="str">
        <x:v>Not run</x:v>
      </x:c>
      <x:c r="J57" s="22" t="str"/>
      <x:c r="K57" s="22" t="str"/>
    </x:row>
    <x:row r="58" ht="61" customHeight="1">
      <x:c r="A58" s="14" t="str">
        <x:v>RB-08-04</x:v>
      </x:c>
      <x:c r="B58" s="14" t="str">
        <x:v>RB-08</x:v>
      </x:c>
      <x:c r="C58" s="14" t="str">
        <x:v>Transfer or restore consistent state</x:v>
      </x:c>
      <x:c r="D58" s="14" t="str">
        <x:v>Data and recovery authorities</x:v>
      </x:c>
      <x:c r="E58" s="14" t="str">
        <x:v>Use the approved platform/data tool through bounded authorized access; preserve copy lineage and measure actual data point. Expected: Useful consistent data is available and attributable.</x:v>
      </x:c>
      <x:c r="F58" s="14" t="str">
        <x:v>A completed job is not evidence of useful recovered data.</x:v>
      </x:c>
      <x:c r="G58" s="22" t="str"/>
      <x:c r="H58" s="22" t="str"/>
      <x:c r="I58" s="22" t="str">
        <x:v>Not run</x:v>
      </x:c>
      <x:c r="J58" s="22" t="str"/>
      <x:c r="K58" s="22" t="str"/>
    </x:row>
    <x:row r="59" ht="61" customHeight="1">
      <x:c r="A59" s="14" t="str">
        <x:v>RB-08-05</x:v>
      </x:c>
      <x:c r="B59" s="14" t="str">
        <x:v>RB-08</x:v>
      </x:c>
      <x:c r="C59" s="14" t="str">
        <x:v>Verify and reconnect</x:v>
      </x:c>
      <x:c r="D59" s="14" t="str">
        <x:v>Data and recovery authorities</x:v>
      </x:c>
      <x:c r="E59" s="14" t="str">
        <x:v>Check application-owner data acceptance, required security/services and recovery timing before approved DNS/exposure cutover. Expected: Current authority accepts the defined recovered service.</x:v>
      </x:c>
      <x:c r="F59" s="14" t="str">
        <x:v>Failed verification keeps target isolated.</x:v>
      </x:c>
      <x:c r="G59" s="22" t="str"/>
      <x:c r="H59" s="22" t="str"/>
      <x:c r="I59" s="22" t="str">
        <x:v>Not run</x:v>
      </x:c>
      <x:c r="J59" s="22" t="str"/>
      <x:c r="K59" s="22" t="str"/>
    </x:row>
    <x:row r="60" ht="61" customHeight="1">
      <x:c r="A60" s="14" t="str">
        <x:v>RB-08-06</x:v>
      </x:c>
      <x:c r="B60" s="14" t="str">
        <x:v>RB-08</x:v>
      </x:c>
      <x:c r="C60" s="14" t="str">
        <x:v>Fail back or retire source</x:v>
      </x:c>
      <x:c r="D60" s="14" t="str">
        <x:v>Data and recovery authorities</x:v>
      </x:c>
      <x:c r="E60" s="14" t="str">
        <x:v>Plan reverse synchronization after new writes; remove temporary routes/grants and reconcile retained copies. Expected: No stale writer, uncontrolled transition path or destroyed held key.</x:v>
      </x:c>
      <x:c r="F60" s="14" t="str">
        <x:v>Starting an old VM is not automatically safe rollback.</x:v>
      </x:c>
      <x:c r="G60" s="22" t="str"/>
      <x:c r="H60" s="22" t="str"/>
      <x:c r="I60" s="22" t="str">
        <x:v>Not run</x:v>
      </x:c>
      <x:c r="J60" s="22" t="str"/>
      <x:c r="K60" s="22" t="str"/>
    </x:row>
    <x:row r="61" ht="61" customHeight="1">
      <x:c r="A61" s="14" t="str">
        <x:v>RB-09-01</x:v>
      </x:c>
      <x:c r="B61" s="14" t="str">
        <x:v>RB-09</x:v>
      </x:c>
      <x:c r="C61" s="14" t="str">
        <x:v>Accept actual operations scope</x:v>
      </x:c>
      <x:c r="D61" s="14" t="str">
        <x:v>Service operations and data disposition owners</x:v>
      </x:c>
      <x:c r="E61" s="14" t="str">
        <x:v>Confirm owner/on-call/support, monitoring, accepted limits, patch/change process, custody and exercised recovery. Expected: Initial readiness supports the production promise.</x:v>
      </x:c>
      <x:c r="F61" s="14" t="str">
        <x:v>Missing actual owner or required restore evidence blocks initial acceptance.</x:v>
      </x:c>
      <x:c r="G61" s="22" t="str"/>
      <x:c r="H61" s="22" t="str"/>
      <x:c r="I61" s="22" t="str">
        <x:v>Not run</x:v>
      </x:c>
      <x:c r="J61" s="22" t="str"/>
      <x:c r="K61" s="22" t="str"/>
    </x:row>
    <x:row r="62" ht="61" customHeight="1">
      <x:c r="A62" s="14" t="str">
        <x:v>RB-09-02</x:v>
      </x:c>
      <x:c r="B62" s="14" t="str">
        <x:v>RB-09</x:v>
      </x:c>
      <x:c r="C62" s="14" t="str">
        <x:v>Plan retirement and preserve obligations</x:v>
      </x:c>
      <x:c r="D62" s="14" t="str">
        <x:v>Service operations and data disposition owners</x:v>
      </x:c>
      <x:c r="E62" s="14" t="str">
        <x:v>Identify dependent services/shared resources, held copies and keys; complete required export/backup before revoking required paths. Expected: Every remaining obligation has an accountable owner.</x:v>
      </x:c>
      <x:c r="F62" s="14" t="str">
        <x:v>Do not delete service access required to preserve held data.</x:v>
      </x:c>
      <x:c r="G62" s="22" t="str"/>
      <x:c r="H62" s="22" t="str"/>
      <x:c r="I62" s="22" t="str">
        <x:v>Not run</x:v>
      </x:c>
      <x:c r="J62" s="22" t="str"/>
      <x:c r="K62" s="22" t="str"/>
    </x:row>
    <x:row r="63" ht="61" customHeight="1">
      <x:c r="A63" s="14" t="str">
        <x:v>RB-09-03</x:v>
      </x:c>
      <x:c r="B63" s="14" t="str">
        <x:v>RB-09</x:v>
      </x:c>
      <x:c r="C63" s="14" t="str">
        <x:v>Withdraw live access</x:v>
      </x:c>
      <x:c r="D63" s="14" t="str">
        <x:v>Service operations and data disposition owners</x:v>
      </x:c>
      <x:c r="E63" s="14" t="str">
        <x:v>Under the relevant owner, remove exposures, ordinary flows, names, routes and grants; confirm session handling. Expected: No obsolete live connectivity/authority remains.</x:v>
      </x:c>
      <x:c r="F63" s="14" t="str">
        <x:v>Do not remove another tenant’s shared domain/service.</x:v>
      </x:c>
      <x:c r="G63" s="22" t="str"/>
      <x:c r="H63" s="22" t="str"/>
      <x:c r="I63" s="22" t="str">
        <x:v>Not run</x:v>
      </x:c>
      <x:c r="J63" s="22" t="str"/>
      <x:c r="K63" s="22" t="str"/>
    </x:row>
    <x:row r="64" ht="48" customHeight="1">
      <x:c r="A64" s="14" t="str">
        <x:v>RB-09-04</x:v>
      </x:c>
      <x:c r="B64" s="14" t="str">
        <x:v>RB-09</x:v>
      </x:c>
      <x:c r="C64" s="14" t="str">
        <x:v>Remove eligible resources</x:v>
      </x:c>
      <x:c r="D64" s="14" t="str">
        <x:v>Service operations and data disposition owners</x:v>
      </x:c>
      <x:c r="E64" s="14" t="str">
        <x:v>Delete only owned eligible workload/attachments; quarantine address reuse and preserve required history. Expected: Actual native state and inventory agree.</x:v>
      </x:c>
      <x:c r="F64" s="14" t="str">
        <x:v>Unknown asynchronous completion or reuse conflict remains blocked.</x:v>
      </x:c>
      <x:c r="G64" s="22" t="str"/>
      <x:c r="H64" s="22" t="str"/>
      <x:c r="I64" s="22" t="str">
        <x:v>Not run</x:v>
      </x:c>
      <x:c r="J64" s="22" t="str"/>
      <x:c r="K64" s="22" t="str"/>
    </x:row>
    <x:row r="65" ht="61" customHeight="1">
      <x:c r="A65" s="14" t="str">
        <x:v>RB-09-05</x:v>
      </x:c>
      <x:c r="B65" s="14" t="str">
        <x:v>RB-09</x:v>
      </x:c>
      <x:c r="C65" s="14" t="str">
        <x:v>Sanitize approved data/media</x:v>
      </x:c>
      <x:c r="D65" s="14" t="str">
        <x:v>Service operations and data disposition owners</x:v>
      </x:c>
      <x:c r="E65" s="14" t="str">
        <x:v>Use the approved media-appropriate process through qualified personnel; verify key/copy scope and held exceptions. Expected: Reuse is supported by actual sanitization evidence.</x:v>
      </x:c>
      <x:c r="F65" s="14" t="str">
        <x:v>Resource-record deletion is not proof of data destruction.</x:v>
      </x:c>
      <x:c r="G65" s="22" t="str"/>
      <x:c r="H65" s="22" t="str"/>
      <x:c r="I65" s="22" t="str">
        <x:v>Not run</x:v>
      </x:c>
      <x:c r="J65" s="22" t="str"/>
      <x:c r="K65" s="22" t="str"/>
    </x:row>
    <x:row r="66" ht="61" customHeight="1">
      <x:c r="A66" s="14" t="str">
        <x:v>RB-09-06</x:v>
      </x:c>
      <x:c r="B66" s="14" t="str">
        <x:v>RB-09</x:v>
      </x:c>
      <x:c r="C66" s="14" t="str">
        <x:v>Close and continue retained custody</x:v>
      </x:c>
      <x:c r="D66" s="14" t="str">
        <x:v>Service operations and data disposition owners</x:v>
      </x:c>
      <x:c r="E66" s="14" t="str">
        <x:v>Retain tombstone, evidence, obligations, access/key custody and future review/disposal dates. Expected: Live service retired; residual data remains explicitly controlled.</x:v>
      </x:c>
      <x:c r="F66" s="14" t="str">
        <x:v>Do not mark total destruction while copies remain.</x:v>
      </x:c>
      <x:c r="G66" s="22" t="str"/>
      <x:c r="H66" s="22" t="str"/>
      <x:c r="I66" s="22" t="str">
        <x:v>Not run</x:v>
      </x:c>
      <x:c r="J66" s="22" t="str"/>
      <x:c r="K66" s="22" t="str"/>
    </x:row>
  </x:sheetData>
  <x:mergeCells>
    <x:mergeCell ref="A1:K1"/>
    <x:mergeCell ref="A2:K3"/>
  </x:mergeCells>
  <x:conditionalFormatting sqref="I6:I66">
    <x:cfRule type="expression" dxfId="4" priority="1">
      <x:formula>I6="Blocked"</x:formula>
    </x:cfRule>
    <x:cfRule type="expression" dxfId="5" priority="2">
      <x:formula>I6="Failed"</x:formula>
    </x:cfRule>
  </x:conditionalFormatting>
  <x:dataValidations count="1">
    <x:dataValidation type="list" sqref="I6:I66">
      <x:formula1>"Not run,Running,Completed,Failed,Blocked,Unknown outcome,Not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9c6e34f7464d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41" hidden="0" customWidth="1"/>
    <x:col min="4" max="4" width="64" hidden="0" customWidth="1"/>
    <x:col min="5" max="5" width="42" hidden="0" customWidth="1"/>
    <x:col min="6" max="6" width="43" hidden="0" customWidth="1"/>
    <x:col min="7" max="7" width="23" hidden="0" customWidth="1"/>
    <x:col min="8" max="8" width="44" hidden="0" customWidth="1"/>
    <x:col min="9" max="9" width="30" hidden="0" customWidth="1"/>
    <x:col min="10" max="10" width="47" hidden="0" customWidth="1"/>
  </x:cols>
  <x:sheetData>
    <x:row r="1" ht="30" customHeight="1">
      <x:c r="A1" s="3" t="str">
        <x:v>Reference procedures and assertions — applicability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8" t="str">
        <x:v>80 CT procedures + 12 realization addenda + 12 W14 assertions. These 104 rows are not 104 executed tests; a compound assertion can need multiple observations.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9" t="str">
        <x:v>Reference ID</x:v>
      </x:c>
      <x:c r="B5" s="19" t="str">
        <x:v>Record type</x:v>
      </x:c>
      <x:c r="C5" s="19" t="str">
        <x:v>Title / assertion</x:v>
      </x:c>
      <x:c r="D5" s="19" t="str">
        <x:v>Expected outcome</x:v>
      </x:c>
      <x:c r="E5" s="19" t="str">
        <x:v>Inherited mappings</x:v>
      </x:c>
      <x:c r="F5" s="19" t="str">
        <x:v>Source</x:v>
      </x:c>
      <x:c r="G5" s="19" t="str">
        <x:v>Applicability</x:v>
      </x:c>
      <x:c r="H5" s="19" t="str">
        <x:v>Actual service / tuple / family</x:v>
      </x:c>
      <x:c r="I5" s="19" t="str">
        <x:v>Campaign stage</x:v>
      </x:c>
      <x:c r="J5" s="19" t="str">
        <x:v>Rationale / approving authority</x:v>
      </x:c>
    </x:row>
    <x:row r="6" ht="38" customHeight="1">
      <x:c r="A6" s="14" t="str">
        <x:v>CT-001</x:v>
      </x:c>
      <x:c r="B6" s="14" t="str">
        <x:v>CT procedure</x:v>
      </x:c>
      <x:c r="C6" s="14" t="str">
        <x:v>Cross-tenant IPv4 isolation</x:v>
      </x:c>
      <x:c r="D6" s="14" t="str">
        <x:v>All unapproved flows are denied; positive controls succeed; no misleading pass caused by a dead endpoint.</x:v>
      </x:c>
      <x:c r="E6" s="14" t="str">
        <x:v>TEN-001; SDI-002; TEST-001; DEL-001</x:v>
      </x:c>
      <x:c r="F6" s="14" t="str">
        <x:v>Historical CT catalogue; actual applicability required</x:v>
      </x:c>
      <x:c r="G6" s="22" t="str">
        <x:v>Unresolved</x:v>
      </x:c>
      <x:c r="H6" s="22" t="str"/>
      <x:c r="I6" s="22" t="str"/>
      <x:c r="J6" s="22" t="str"/>
    </x:row>
    <x:row r="7" ht="38" customHeight="1">
      <x:c r="A7" s="14" t="str">
        <x:v>CT-002</x:v>
      </x:c>
      <x:c r="B7" s="14" t="str">
        <x:v>CT procedure</x:v>
      </x:c>
      <x:c r="C7" s="14" t="str">
        <x:v>Cross-tenant IPv6 isolation</x:v>
      </x:c>
      <x:c r="D7" s="14" t="str">
        <x:v>Unapproved IPv6 flows are denied without breaking required local IPv6 operation.</x:v>
      </x:c>
      <x:c r="E7" s="14" t="str">
        <x:v>TEN-001; SDI-002; IPV6-001; IPV6-002; TEST-001</x:v>
      </x:c>
      <x:c r="F7" s="14" t="str">
        <x:v>Historical CT catalogue; actual applicability required</x:v>
      </x:c>
      <x:c r="G7" s="22" t="str">
        <x:v>Unresolved</x:v>
      </x:c>
      <x:c r="H7" s="22" t="str"/>
      <x:c r="I7" s="22" t="str"/>
      <x:c r="J7" s="22" t="str"/>
    </x:row>
    <x:row r="8" ht="48" customHeight="1">
      <x:c r="A8" s="14" t="str">
        <x:v>CT-003</x:v>
      </x:c>
      <x:c r="B8" s="14" t="str">
        <x:v>CT procedure</x:v>
      </x:c>
      <x:c r="C8" s="14" t="str">
        <x:v>Zone-boundary bypass prevention</x:v>
      </x:c>
      <x:c r="D8" s="14" t="str">
        <x:v>No undeclared path exists; allowed traffic is enforced by the ZIP realization; removing that authorization denies it.</x:v>
      </x:c>
      <x:c r="E8" s="14" t="str">
        <x:v>ARCH-003; ZIP-001; ZIP-007; OVL-002; RTE-002; IPV6-002; NUT-002; NSX-002; NSX-003; TEST-001; MIG-002; DEL-001</x:v>
      </x:c>
      <x:c r="F8" s="14" t="str">
        <x:v>Historical CT catalogue; actual applicability required</x:v>
      </x:c>
      <x:c r="G8" s="22" t="str">
        <x:v>Unresolved</x:v>
      </x:c>
      <x:c r="H8" s="22" t="str"/>
      <x:c r="I8" s="22" t="str"/>
      <x:c r="J8" s="22" t="str"/>
    </x:row>
    <x:row r="9" ht="38" customHeight="1">
      <x:c r="A9" s="14" t="str">
        <x:v>CT-004</x:v>
      </x:c>
      <x:c r="B9" s="14" t="str">
        <x:v>CT procedure</x:v>
      </x:c>
      <x:c r="C9" s="14" t="str">
        <x:v>Infrastructure management isolation</x:v>
      </x:c>
      <x:c r="D9" s="14" t="str">
        <x:v>Workloads cannot access infrastructure management; dedicated authorized administration still works.</x:v>
      </x:c>
      <x:c r="E9" s="14" t="str">
        <x:v>ARCH-004; MODEL-002; ZIP-004; MGT-001; MGT-005; BKP-001; DEL-001</x:v>
      </x:c>
      <x:c r="F9" s="14" t="str">
        <x:v>Historical CT catalogue; actual applicability required</x:v>
      </x:c>
      <x:c r="G9" s="22" t="str">
        <x:v>Unresolved</x:v>
      </x:c>
      <x:c r="H9" s="22" t="str"/>
      <x:c r="I9" s="22" t="str"/>
      <x:c r="J9" s="22" t="str"/>
    </x:row>
    <x:row r="10" ht="38" customHeight="1">
      <x:c r="A10" s="14" t="str">
        <x:v>CT-005</x:v>
      </x:c>
      <x:c r="B10" s="14" t="str">
        <x:v>CT procedure</x:v>
      </x:c>
      <x:c r="C10" s="14" t="str">
        <x:v>Default Internet denial</x:v>
      </x:c>
      <x:c r="D10" s="14" t="str">
        <x:v>No unapproved egress succeeds; no default-route or NAT shortcut defeats policy.</x:v>
      </x:c>
      <x:c r="E10" s="14" t="str">
        <x:v>EGR-001; OS-001</x:v>
      </x:c>
      <x:c r="F10" s="14" t="str">
        <x:v>Historical CT catalogue; actual applicability required</x:v>
      </x:c>
      <x:c r="G10" s="22" t="str">
        <x:v>Unresolved</x:v>
      </x:c>
      <x:c r="H10" s="22" t="str"/>
      <x:c r="I10" s="22" t="str"/>
      <x:c r="J10" s="22" t="str"/>
    </x:row>
    <x:row r="11" ht="38" customHeight="1">
      <x:c r="A11" s="14" t="str">
        <x:v>CT-006</x:v>
      </x:c>
      <x:c r="B11" s="14" t="str">
        <x:v>CT procedure</x:v>
      </x:c>
      <x:c r="C11" s="14" t="str">
        <x:v>Public ingress protection</x:v>
      </x:c>
      <x:c r="D11" s="14" t="str">
        <x:v>Direct exposure is denied; the approved ingress reaches only its declared backend and port.</x:v>
      </x:c>
      <x:c r="E11" s="14" t="str">
        <x:v>ING-001; ING-002</x:v>
      </x:c>
      <x:c r="F11" s="14" t="str">
        <x:v>Historical CT catalogue; actual applicability required</x:v>
      </x:c>
      <x:c r="G11" s="22" t="str">
        <x:v>Unresolved</x:v>
      </x:c>
      <x:c r="H11" s="22" t="str"/>
      <x:c r="I11" s="22" t="str"/>
      <x:c r="J11" s="22" t="str"/>
    </x:row>
    <x:row r="12" ht="38" customHeight="1">
      <x:c r="A12" s="14" t="str">
        <x:v>CT-007</x:v>
      </x:c>
      <x:c r="B12" s="14" t="str">
        <x:v>CT procedure</x:v>
      </x:c>
      <x:c r="C12" s="14" t="str">
        <x:v>Approved stateful flow</x:v>
      </x:c>
      <x:c r="D12" s="14" t="str">
        <x:v>Intended request/reply works; reverse initiation is allowed only when separately declared.</x:v>
      </x:c>
      <x:c r="E12" s="14" t="str">
        <x:v>ZIP-003; NSX-002; FLOW-001; TEST-001</x:v>
      </x:c>
      <x:c r="F12" s="14" t="str">
        <x:v>Historical CT catalogue; actual applicability required</x:v>
      </x:c>
      <x:c r="G12" s="22" t="str">
        <x:v>Unresolved</x:v>
      </x:c>
      <x:c r="H12" s="22" t="str"/>
      <x:c r="I12" s="22" t="str"/>
      <x:c r="J12" s="22" t="str"/>
    </x:row>
    <x:row r="13" ht="48" customHeight="1">
      <x:c r="A13" s="14" t="str">
        <x:v>CT-008</x:v>
      </x:c>
      <x:c r="B13" s="14" t="str">
        <x:v>CT procedure</x:v>
      </x:c>
      <x:c r="C13" s="14" t="str">
        <x:v>Service-binding scope</x:v>
      </x:c>
      <x:c r="D13" s="14" t="str">
        <x:v>Only declared service endpoints/directions are reachable; consuming one service does not expose its subnet or management.</x:v>
      </x:c>
      <x:c r="E13" s="14" t="str">
        <x:v>INV-004; MODEL-002; SVC-001; SVC-002; SVC-003; DEL-001</x:v>
      </x:c>
      <x:c r="F13" s="14" t="str">
        <x:v>Historical CT catalogue; actual applicability required</x:v>
      </x:c>
      <x:c r="G13" s="22" t="str">
        <x:v>Unresolved</x:v>
      </x:c>
      <x:c r="H13" s="22" t="str"/>
      <x:c r="I13" s="22" t="str"/>
      <x:c r="J13" s="22" t="str"/>
    </x:row>
    <x:row r="14" ht="48" customHeight="1">
      <x:c r="A14" s="14" t="str">
        <x:v>CT-009</x:v>
      </x:c>
      <x:c r="B14" s="14" t="str">
        <x:v>CT procedure</x:v>
      </x:c>
      <x:c r="C14" s="14" t="str">
        <x:v>Route-authority integrity</x:v>
      </x:c>
      <x:c r="D14" s="14" t="str">
        <x:v>No unauthorized route or advertisement exists; summaries cannot expose excluded domains.</x:v>
      </x:c>
      <x:c r="E14" s="14" t="str">
        <x:v>INV-003; RTE-001; RTE-002; RTE-003; RTE-004; FAB-002; EVPN-001; NSX-002; POL-002</x:v>
      </x:c>
      <x:c r="F14" s="14" t="str">
        <x:v>Historical CT catalogue; actual applicability required</x:v>
      </x:c>
      <x:c r="G14" s="22" t="str">
        <x:v>Unresolved</x:v>
      </x:c>
      <x:c r="H14" s="22" t="str"/>
      <x:c r="I14" s="22" t="str"/>
      <x:c r="J14" s="22" t="str"/>
    </x:row>
    <x:row r="15" ht="48" customHeight="1">
      <x:c r="A15" s="14" t="str">
        <x:v>CT-010</x:v>
      </x:c>
      <x:c r="B15" s="14" t="str">
        <x:v>CT procedure</x:v>
      </x:c>
      <x:c r="C15" s="14" t="str">
        <x:v>Security-event attribution</x:v>
      </x:c>
      <x:c r="D15" s="14" t="str">
        <x:v>Records identify tenant, WSD/domain, policy, actor, timestamp and deployment; timestamps satisfy the logging profile.</x:v>
      </x:c>
      <x:c r="E15" s="14" t="str">
        <x:v>EGR-002; OBS-001; OBS-002; OBS-003</x:v>
      </x:c>
      <x:c r="F15" s="14" t="str">
        <x:v>Historical CT catalogue; actual applicability required</x:v>
      </x:c>
      <x:c r="G15" s="22" t="str">
        <x:v>Unresolved</x:v>
      </x:c>
      <x:c r="H15" s="22" t="str"/>
      <x:c r="I15" s="22" t="str"/>
      <x:c r="J15" s="22" t="str"/>
    </x:row>
    <x:row r="16" ht="38" customHeight="1">
      <x:c r="A16" s="14" t="str">
        <x:v>CT-011</x:v>
      </x:c>
      <x:c r="B16" s="14" t="str">
        <x:v>CT procedure</x:v>
      </x:c>
      <x:c r="C16" s="14" t="str">
        <x:v>Control-plane loss</x:v>
      </x:c>
      <x:c r="D16" s="14" t="str">
        <x:v>Existing approved paths retain enforcement; new unsafe changes stop; recovery converges without bypass.</x:v>
      </x:c>
      <x:c r="E16" s="14" t="str">
        <x:v>INV-007; AUTO-001; TEST-004; FAIL-001; FAIL-002</x:v>
      </x:c>
      <x:c r="F16" s="14" t="str">
        <x:v>Historical CT catalogue; actual applicability required</x:v>
      </x:c>
      <x:c r="G16" s="22" t="str">
        <x:v>Unresolved</x:v>
      </x:c>
      <x:c r="H16" s="22" t="str"/>
      <x:c r="I16" s="22" t="str"/>
      <x:c r="J16" s="22" t="str"/>
    </x:row>
    <x:row r="17" ht="38" customHeight="1">
      <x:c r="A17" s="14" t="str">
        <x:v>CT-012</x:v>
      </x:c>
      <x:c r="B17" s="14" t="str">
        <x:v>CT procedure</x:v>
      </x:c>
      <x:c r="C17" s="14" t="str">
        <x:v>Security-edge node failure</x:v>
      </x:c>
      <x:c r="D17" s="14" t="str">
        <x:v>No unauthorized traffic is permitted; recovery and remaining capacity meet the accepted profile.</x:v>
      </x:c>
      <x:c r="E17" s="14" t="str">
        <x:v>REL-001; REL-002; TEST-004; CAP-001; FAIL-001; FAIL-002</x:v>
      </x:c>
      <x:c r="F17" s="14" t="str">
        <x:v>Historical CT catalogue; actual applicability required</x:v>
      </x:c>
      <x:c r="G17" s="22" t="str">
        <x:v>Unresolved</x:v>
      </x:c>
      <x:c r="H17" s="22" t="str"/>
      <x:c r="I17" s="22" t="str"/>
      <x:c r="J17" s="22" t="str"/>
    </x:row>
    <x:row r="18" ht="48" customHeight="1">
      <x:c r="A18" s="14" t="str">
        <x:v>CT-013</x:v>
      </x:c>
      <x:c r="B18" s="14" t="str">
        <x:v>CT procedure</x:v>
      </x:c>
      <x:c r="C18" s="14" t="str">
        <x:v>Offboarding residuals</x:v>
      </x:c>
      <x:c r="D18" s="14" t="str">
        <x:v>Active connectivity and grants are removed; retained copies are explicitly owned/locked; the tombstone explains every remaining object.</x:v>
      </x:c>
      <x:c r="E18" s="14" t="str">
        <x:v>IPAM-003; LIFE-001; LIFE-002; DEL-001</x:v>
      </x:c>
      <x:c r="F18" s="14" t="str">
        <x:v>Historical CT catalogue; actual applicability required</x:v>
      </x:c>
      <x:c r="G18" s="22" t="str">
        <x:v>Unresolved</x:v>
      </x:c>
      <x:c r="H18" s="22" t="str"/>
      <x:c r="I18" s="22" t="str"/>
      <x:c r="J18" s="22" t="str"/>
    </x:row>
    <x:row r="19" ht="38" customHeight="1">
      <x:c r="A19" s="14" t="str">
        <x:v>CT-014</x:v>
      </x:c>
      <x:c r="B19" s="14" t="str">
        <x:v>CT procedure</x:v>
      </x:c>
      <x:c r="C19" s="14" t="str">
        <x:v>Security drift detection</x:v>
      </x:c>
      <x:c r="D19" s="14" t="str">
        <x:v>Drift changes technical compliance status and alerts the owner; incident containment is not silently reverted.</x:v>
      </x:c>
      <x:c r="E19" s="14" t="str">
        <x:v>IMG-002; DRIFT-001; DRIFT-002</x:v>
      </x:c>
      <x:c r="F19" s="14" t="str">
        <x:v>Historical CT catalogue; actual applicability required</x:v>
      </x:c>
      <x:c r="G19" s="22" t="str">
        <x:v>Unresolved</x:v>
      </x:c>
      <x:c r="H19" s="22" t="str"/>
      <x:c r="I19" s="22" t="str"/>
      <x:c r="J19" s="22" t="str"/>
    </x:row>
    <x:row r="20" ht="48" customHeight="1">
      <x:c r="A20" s="14" t="str">
        <x:v>CT-015</x:v>
      </x:c>
      <x:c r="B20" s="14" t="str">
        <x:v>CT procedure</x:v>
      </x:c>
      <x:c r="C20" s="14" t="str">
        <x:v>Platform/provider upgrade regression</x:v>
      </x:c>
      <x:c r="D20" s="14" t="str">
        <x:v>No mandatory outcome regresses; the new certification is approved before broad placement.</x:v>
      </x:c>
      <x:c r="E20" s="14" t="str">
        <x:v>PORT-001; QUAL-001; NUT-001; NUT-004; NSX-003; OS-003; FUT-001; TF-002; TEST-002; VULN-002</x:v>
      </x:c>
      <x:c r="F20" s="14" t="str">
        <x:v>Historical CT catalogue; actual applicability required</x:v>
      </x:c>
      <x:c r="G20" s="22" t="str">
        <x:v>Unresolved</x:v>
      </x:c>
      <x:c r="H20" s="22" t="str"/>
      <x:c r="I20" s="22" t="str"/>
      <x:c r="J20" s="22" t="str"/>
    </x:row>
    <x:row r="21" ht="48" customHeight="1">
      <x:c r="A21" s="14" t="str">
        <x:v>CT-016</x:v>
      </x:c>
      <x:c r="B21" s="14" t="str">
        <x:v>CT procedure</x:v>
      </x:c>
      <x:c r="C21" s="14" t="str">
        <x:v>Portable contract and object identity</x:v>
      </x:c>
      <x:c r="D21" s="14" t="str">
        <x:v>Equivalent mandatory intent is preserved; unsupported capabilities reject placement rather than silently degrade.</x:v>
      </x:c>
      <x:c r="E21" s="14" t="str">
        <x:v>ARCH-001; INV-001; INV-005; REF-001; REF-002; WSD-002; OVL-001; PORT-003; API-001; TF-003; DEL-002</x:v>
      </x:c>
      <x:c r="F21" s="14" t="str">
        <x:v>Historical CT catalogue; actual applicability required</x:v>
      </x:c>
      <x:c r="G21" s="22" t="str">
        <x:v>Unresolved</x:v>
      </x:c>
      <x:c r="H21" s="22" t="str"/>
      <x:c r="I21" s="22" t="str"/>
      <x:c r="J21" s="22" t="str"/>
    </x:row>
    <x:row r="22" ht="48" customHeight="1">
      <x:c r="A22" s="14" t="str">
        <x:v>CT-017</x:v>
      </x:c>
      <x:c r="B22" s="14" t="str">
        <x:v>CT procedure</x:v>
      </x:c>
      <x:c r="C22" s="14" t="str">
        <x:v>Admission and authorization negatives</x:v>
      </x:c>
      <x:c r="D22" s="14" t="str">
        <x:v>All invalid or unauthorized requests are rejected before any allocation or provider action.</x:v>
      </x:c>
      <x:c r="E22" s="14" t="str">
        <x:v>ARCH-001; CAT-001; CAT-002; MODEL-001; WSD-001; WSD-002; ZONE-001; API-002; API-003; POL-001; EXC-003; ONB-001</x:v>
      </x:c>
      <x:c r="F22" s="14" t="str">
        <x:v>Historical CT catalogue; actual applicability required</x:v>
      </x:c>
      <x:c r="G22" s="22" t="str">
        <x:v>Unresolved</x:v>
      </x:c>
      <x:c r="H22" s="22" t="str"/>
      <x:c r="I22" s="22" t="str"/>
      <x:c r="J22" s="22" t="str"/>
    </x:row>
    <x:row r="23" ht="74" customHeight="1">
      <x:c r="A23" s="14" t="str">
        <x:v>CT-018</x:v>
      </x:c>
      <x:c r="B23" s="14" t="str">
        <x:v>CT procedure</x:v>
      </x:c>
      <x:c r="C23" s="14" t="str">
        <x:v>Unsupported capability and expired certification</x:v>
      </x:c>
      <x:c r="D23" s="14" t="str">
        <x:v>Placement fails with an actionable capability reason; candidate/expired records cannot authorize production.</x:v>
      </x:c>
      <x:c r="E23" s="14" t="str">
        <x:v>SCOPE-001; REF-002; CAT-002; SDI-003; OVL-001; IPV6-003; PLACE-001; PORT-001; PORT-002; QUAL-001; NUT-001; OS-003; FUT-001; FUT-002; ASSUR-002; ASSUR-003; TEST-002; ONB-001; ACPT-001</x:v>
      </x:c>
      <x:c r="F23" s="14" t="str">
        <x:v>Historical CT catalogue; actual applicability required</x:v>
      </x:c>
      <x:c r="G23" s="22" t="str">
        <x:v>Unresolved</x:v>
      </x:c>
      <x:c r="H23" s="22" t="str"/>
      <x:c r="I23" s="22" t="str"/>
      <x:c r="J23" s="22" t="str"/>
    </x:row>
    <x:row r="24" ht="61" customHeight="1">
      <x:c r="A24" s="14" t="str">
        <x:v>CT-019</x:v>
      </x:c>
      <x:c r="B24" s="14" t="str">
        <x:v>CT procedure</x:v>
      </x:c>
      <x:c r="C24" s="14" t="str">
        <x:v>Ownership, quota and separation of duties</x:v>
      </x:c>
      <x:c r="D24" s="14" t="str">
        <x:v>Only allowed roles succeed; quota reservation is atomic; no resource is created above a hard entitlement.</x:v>
      </x:c>
      <x:c r="E24" s="14" t="str">
        <x:v>TEN-001; TEN-002; TEN-003; MGT-003; IAM-001; SVCM-001; NSX-001; OS-002; API-002; STATE-001; SEC-002; OPS-001; OPS-002</x:v>
      </x:c>
      <x:c r="F24" s="14" t="str">
        <x:v>Historical CT catalogue; actual applicability required</x:v>
      </x:c>
      <x:c r="G24" s="22" t="str">
        <x:v>Unresolved</x:v>
      </x:c>
      <x:c r="H24" s="22" t="str"/>
      <x:c r="I24" s="22" t="str"/>
      <x:c r="J24" s="22" t="str"/>
    </x:row>
    <x:row r="25" ht="38" customHeight="1">
      <x:c r="A25" s="14" t="str">
        <x:v>CT-020</x:v>
      </x:c>
      <x:c r="B25" s="14" t="str">
        <x:v>CT procedure</x:v>
      </x:c>
      <x:c r="C25" s="14" t="str">
        <x:v>Security-label integrity</x:v>
      </x:c>
      <x:c r="D25" s="14" t="str">
        <x:v>Tenant changes cannot expand effective permissions; mandatory policy precedence is preserved.</x:v>
      </x:c>
      <x:c r="E25" s="14" t="str">
        <x:v>MICRO-002; MICRO-003; NUT-003; NSX-001; FLOW-001</x:v>
      </x:c>
      <x:c r="F25" s="14" t="str">
        <x:v>Historical CT catalogue; actual applicability required</x:v>
      </x:c>
      <x:c r="G25" s="22" t="str">
        <x:v>Unresolved</x:v>
      </x:c>
      <x:c r="H25" s="22" t="str"/>
      <x:c r="I25" s="22" t="str"/>
      <x:c r="J25" s="22" t="str"/>
    </x:row>
    <x:row r="26" ht="38" customHeight="1">
      <x:c r="A26" s="14" t="str">
        <x:v>CT-021</x:v>
      </x:c>
      <x:c r="B26" s="14" t="str">
        <x:v>CT procedure</x:v>
      </x:c>
      <x:c r="C26" s="14" t="str">
        <x:v>Same-domain east-west isolation</x:v>
      </x:c>
      <x:c r="D26" s="14" t="str">
        <x:v>Unapproved east-west communication is denied; allowed flows and required local services function.</x:v>
      </x:c>
      <x:c r="E26" s="14" t="str">
        <x:v>SDI-002; OVL-002; MICRO-001; MICRO-003; OS-001</x:v>
      </x:c>
      <x:c r="F26" s="14" t="str">
        <x:v>Historical CT catalogue; actual applicability required</x:v>
      </x:c>
      <x:c r="G26" s="22" t="str">
        <x:v>Unresolved</x:v>
      </x:c>
      <x:c r="H26" s="22" t="str"/>
      <x:c r="I26" s="22" t="str"/>
      <x:c r="J26" s="22" t="str"/>
    </x:row>
    <x:row r="27" ht="38" customHeight="1">
      <x:c r="A27" s="14" t="str">
        <x:v>CT-022</x:v>
      </x:c>
      <x:c r="B27" s="14" t="str">
        <x:v>CT procedure</x:v>
      </x:c>
      <x:c r="C27" s="14" t="str">
        <x:v>Spoofing and virtual NIC controls</x:v>
      </x:c>
      <x:c r="D27" s="14" t="str">
        <x:v>Source identities cannot impersonate another domain; platform exceptions have explicit owners and expiration.</x:v>
      </x:c>
      <x:c r="E27" s="14" t="str">
        <x:v>OVL-003; MICRO-003; OS-002; OS-003</x:v>
      </x:c>
      <x:c r="F27" s="14" t="str">
        <x:v>Historical CT catalogue; actual applicability required</x:v>
      </x:c>
      <x:c r="G27" s="22" t="str">
        <x:v>Unresolved</x:v>
      </x:c>
      <x:c r="H27" s="22" t="str"/>
      <x:c r="I27" s="22" t="str"/>
      <x:c r="J27" s="22" t="str"/>
    </x:row>
    <x:row r="28" ht="48" customHeight="1">
      <x:c r="A28" s="14" t="str">
        <x:v>CT-023</x:v>
      </x:c>
      <x:c r="B28" s="14" t="str">
        <x:v>CT procedure</x:v>
      </x:c>
      <x:c r="C28" s="14" t="str">
        <x:v>Shared edge-attachment isolation</x:v>
      </x:c>
      <x:c r="D28" s="14" t="str">
        <x:v>No path bypasses per-domain identity and ZIP enforcement; otherwise the shared attachment is ineligible.</x:v>
      </x:c>
      <x:c r="E28" s="14" t="str">
        <x:v>ZIP-002; ZIP-007; OVL-002; RTE-002; RTE-004; EDGE-001; EDGE-002; NUT-002; NUT-004; OS-002</x:v>
      </x:c>
      <x:c r="F28" s="14" t="str">
        <x:v>Historical CT catalogue; actual applicability required</x:v>
      </x:c>
      <x:c r="G28" s="22" t="str">
        <x:v>Unresolved</x:v>
      </x:c>
      <x:c r="H28" s="22" t="str"/>
      <x:c r="I28" s="22" t="str"/>
      <x:c r="J28" s="22" t="str"/>
    </x:row>
    <x:row r="29" ht="38" customHeight="1">
      <x:c r="A29" s="14" t="str">
        <x:v>CT-024</x:v>
      </x:c>
      <x:c r="B29" s="14" t="str">
        <x:v>CT procedure</x:v>
      </x:c>
      <x:c r="C29" s="14" t="str">
        <x:v>Stateful symmetry and policy routing</x:v>
      </x:c>
      <x:c r="D29" s="14" t="str">
        <x:v>Stateful enforcement remains correct; unsupported asymmetry is denied, not resolved by permissive bypass.</x:v>
      </x:c>
      <x:c r="E29" s="14" t="str">
        <x:v>RTE-004; EDGE-001; EDGE-002; EVPN-002; NUT-002; NSX-003; FAIL-001</x:v>
      </x:c>
      <x:c r="F29" s="14" t="str">
        <x:v>Historical CT catalogue; actual applicability required</x:v>
      </x:c>
      <x:c r="G29" s="22" t="str">
        <x:v>Unresolved</x:v>
      </x:c>
      <x:c r="H29" s="22" t="str"/>
      <x:c r="I29" s="22" t="str"/>
      <x:c r="J29" s="22" t="str"/>
    </x:row>
    <x:row r="30" ht="61" customHeight="1">
      <x:c r="A30" s="14" t="str">
        <x:v>CT-025</x:v>
      </x:c>
      <x:c r="B30" s="14" t="str">
        <x:v>CT procedure</x:v>
      </x:c>
      <x:c r="C30" s="14" t="str">
        <x:v>Zone adjacency and joint authority</x:v>
      </x:c>
      <x:c r="D30" s="14" t="str">
        <x:v>Invalid graphs are rejected; valid bindings resolve to the explicitly authorized adjacent domains.</x:v>
      </x:c>
      <x:c r="E30" s="14" t="str">
        <x:v>ARCH-003; INV-002; MODEL-001; SDI-001; SDI-004; ZONE-001; ZONE-002; ZIP-002; ZIP-003; SVC-002; ING-001; FAB-003; POL-001</x:v>
      </x:c>
      <x:c r="F30" s="14" t="str">
        <x:v>Historical CT catalogue; actual applicability required</x:v>
      </x:c>
      <x:c r="G30" s="22" t="str">
        <x:v>Unresolved</x:v>
      </x:c>
      <x:c r="H30" s="22" t="str"/>
      <x:c r="I30" s="22" t="str"/>
      <x:c r="J30" s="22" t="str"/>
    </x:row>
    <x:row r="31" ht="48" customHeight="1">
      <x:c r="A31" s="14" t="str">
        <x:v>CT-026</x:v>
      </x:c>
      <x:c r="B31" s="14" t="str">
        <x:v>CT procedure</x:v>
      </x:c>
      <x:c r="C31" s="14" t="str">
        <x:v>MZ, OOB and remote administration</x:v>
      </x:c>
      <x:c r="D31" s="14" t="str">
        <x:v>MZ semantics and OOB transport remain distinct; only approved privileged paths reach management targets.</x:v>
      </x:c>
      <x:c r="E31" s="14" t="str">
        <x:v>ARCH-004; MODEL-002; TEN-002; ZIP-004; ZIP-005; MGT-001; MGT-002; MGT-005; IAM-002; FAB-004</x:v>
      </x:c>
      <x:c r="F31" s="14" t="str">
        <x:v>Historical CT catalogue; actual applicability required</x:v>
      </x:c>
      <x:c r="G31" s="22" t="str">
        <x:v>Unresolved</x:v>
      </x:c>
      <x:c r="H31" s="22" t="str"/>
      <x:c r="I31" s="22" t="str"/>
      <x:c r="J31" s="22" t="str"/>
    </x:row>
    <x:row r="32" ht="38" customHeight="1">
      <x:c r="A32" s="14" t="str">
        <x:v>CT-027</x:v>
      </x:c>
      <x:c r="B32" s="14" t="str">
        <x:v>CT procedure</x:v>
      </x:c>
      <x:c r="C32" s="14" t="str">
        <x:v>Break-glass and identity-provider loss</x:v>
      </x:c>
      <x:c r="D32" s="14" t="str">
        <x:v>Access remains accountable and scoped; no shared anonymous administrator or permanent bypass is created.</x:v>
      </x:c>
      <x:c r="E32" s="14" t="str">
        <x:v>MGT-002; MGT-004; IAM-001; IAM-002; SEC-003; FAIL-002; FAIL-003</x:v>
      </x:c>
      <x:c r="F32" s="14" t="str">
        <x:v>Historical CT catalogue; actual applicability required</x:v>
      </x:c>
      <x:c r="G32" s="22" t="str">
        <x:v>Unresolved</x:v>
      </x:c>
      <x:c r="H32" s="22" t="str"/>
      <x:c r="I32" s="22" t="str"/>
      <x:c r="J32" s="22" t="str"/>
    </x:row>
    <x:row r="33" ht="48" customHeight="1">
      <x:c r="A33" s="14" t="str">
        <x:v>CT-028</x:v>
      </x:c>
      <x:c r="B33" s="14" t="str">
        <x:v>CT procedure</x:v>
      </x:c>
      <x:c r="C33" s="14" t="str">
        <x:v>Workload identity and certificate lifecycle</x:v>
      </x:c>
      <x:c r="D33" s="14" t="str">
        <x:v>Approved service continues with new material; old/revoked credentials are unusable within the accepted propagation interval.</x:v>
      </x:c>
      <x:c r="E33" s="14" t="str">
        <x:v>SVC-003; IAM-001; IAM-003; CRY-001; CRY-003; SEC-003</x:v>
      </x:c>
      <x:c r="F33" s="14" t="str">
        <x:v>Historical CT catalogue; actual applicability required</x:v>
      </x:c>
      <x:c r="G33" s="22" t="str">
        <x:v>Unresolved</x:v>
      </x:c>
      <x:c r="H33" s="22" t="str"/>
      <x:c r="I33" s="22" t="str"/>
      <x:c r="J33" s="22" t="str"/>
    </x:row>
    <x:row r="34" ht="48" customHeight="1">
      <x:c r="A34" s="14" t="str">
        <x:v>CT-029</x:v>
      </x:c>
      <x:c r="B34" s="14" t="str">
        <x:v>CT procedure</x:v>
      </x:c>
      <x:c r="C34" s="14" t="str">
        <x:v>IPAM concurrency, overlap and exhaustion</x:v>
      </x:c>
      <x:c r="D34" s="14" t="str">
        <x:v>One authoritative reservation per allocation; retries are idempotent; exhaustion/unauthorized overlap stops provisioning.</x:v>
      </x:c>
      <x:c r="E34" s="14" t="str">
        <x:v>IPAM-001; IPAM-002; IPAM-004; AUTO-001</x:v>
      </x:c>
      <x:c r="F34" s="14" t="str">
        <x:v>Historical CT catalogue; actual applicability required</x:v>
      </x:c>
      <x:c r="G34" s="22" t="str">
        <x:v>Unresolved</x:v>
      </x:c>
      <x:c r="H34" s="22" t="str"/>
      <x:c r="I34" s="22" t="str"/>
      <x:c r="J34" s="22" t="str"/>
    </x:row>
    <x:row r="35" ht="38" customHeight="1">
      <x:c r="A35" s="14" t="str">
        <x:v>CT-030</x:v>
      </x:c>
      <x:c r="B35" s="14" t="str">
        <x:v>CT procedure</x:v>
      </x:c>
      <x:c r="C35" s="14" t="str">
        <x:v>DNS/DHCP lifecycle and reuse</x:v>
      </x:c>
      <x:c r="D35" s="14" t="str">
        <x:v>No duplicate active ownership or premature reuse; stale records disappear within the approved timing profile.</x:v>
      </x:c>
      <x:c r="E35" s="14" t="str">
        <x:v>IPAM-001; IPAM-003; IPAM-004</x:v>
      </x:c>
      <x:c r="F35" s="14" t="str">
        <x:v>Historical CT catalogue; actual applicability required</x:v>
      </x:c>
      <x:c r="G35" s="22" t="str">
        <x:v>Unresolved</x:v>
      </x:c>
      <x:c r="H35" s="22" t="str"/>
      <x:c r="I35" s="22" t="str"/>
      <x:c r="J35" s="22" t="str"/>
    </x:row>
    <x:row r="36" ht="48" customHeight="1">
      <x:c r="A36" s="14" t="str">
        <x:v>CT-031</x:v>
      </x:c>
      <x:c r="B36" s="14" t="str">
        <x:v>CT procedure</x:v>
      </x:c>
      <x:c r="C36" s="14" t="str">
        <x:v>IPv6 local control and IPv4-only posture</x:v>
      </x:c>
      <x:c r="D36" s="14" t="str">
        <x:v>No alternate-protocol bypass; enabled IPv6 works correctly and disabled service does not create ungoverned reachability.</x:v>
      </x:c>
      <x:c r="E36" s="14" t="str">
        <x:v>RTE-004; IPV6-001; IPV6-002; IPV6-003</x:v>
      </x:c>
      <x:c r="F36" s="14" t="str">
        <x:v>Historical CT catalogue; actual applicability required</x:v>
      </x:c>
      <x:c r="G36" s="22" t="str">
        <x:v>Unresolved</x:v>
      </x:c>
      <x:c r="H36" s="22" t="str"/>
      <x:c r="I36" s="22" t="str"/>
      <x:c r="J36" s="22" t="str"/>
    </x:row>
    <x:row r="37" ht="48" customHeight="1">
      <x:c r="A37" s="14" t="str">
        <x:v>CT-032</x:v>
      </x:c>
      <x:c r="B37" s="14" t="str">
        <x:v>CT procedure</x:v>
      </x:c>
      <x:c r="C37" s="14" t="str">
        <x:v>MTU and path-MTU discovery</x:v>
      </x:c>
      <x:c r="D37" s="14" t="str">
        <x:v>Accepted MTU is reachable without silent black holes; required PMTU feedback is delivered or a documented alternative works.</x:v>
      </x:c>
      <x:c r="E37" s="14" t="str">
        <x:v>IPV6-001; IPV6-003; EDGE-001; FAB-004; EVPN-002</x:v>
      </x:c>
      <x:c r="F37" s="14" t="str">
        <x:v>Historical CT catalogue; actual applicability required</x:v>
      </x:c>
      <x:c r="G37" s="22" t="str">
        <x:v>Unresolved</x:v>
      </x:c>
      <x:c r="H37" s="22" t="str"/>
      <x:c r="I37" s="22" t="str"/>
      <x:c r="J37" s="22" t="str"/>
    </x:row>
    <x:row r="38" ht="48" customHeight="1">
      <x:c r="A38" s="14" t="str">
        <x:v>CT-033</x:v>
      </x:c>
      <x:c r="B38" s="14" t="str">
        <x:v>CT procedure</x:v>
      </x:c>
      <x:c r="C38" s="14" t="str">
        <x:v>BGP and EVPN import/export boundaries</x:v>
      </x:c>
      <x:c r="D38" s="14" t="str">
        <x:v>Only authorized advertisements install; route leaks, excess prefixes and unapproved defaults are rejected and alerted.</x:v>
      </x:c>
      <x:c r="E38" s="14" t="str">
        <x:v>INV-003; RTE-001; FAB-004; EVPN-001</x:v>
      </x:c>
      <x:c r="F38" s="14" t="str">
        <x:v>Historical CT catalogue; actual applicability required</x:v>
      </x:c>
      <x:c r="G38" s="22" t="str">
        <x:v>Unresolved</x:v>
      </x:c>
      <x:c r="H38" s="22" t="str"/>
      <x:c r="I38" s="22" t="str"/>
      <x:c r="J38" s="22" t="str"/>
    </x:row>
    <x:row r="39" ht="38" customHeight="1">
      <x:c r="A39" s="14" t="str">
        <x:v>CT-034</x:v>
      </x:c>
      <x:c r="B39" s="14" t="str">
        <x:v>CT procedure</x:v>
      </x:c>
      <x:c r="C39" s="14" t="str">
        <x:v>Leaf/link and multihoming failures</x:v>
      </x:c>
      <x:c r="D39" s="14" t="str">
        <x:v>No loop, unintended duplicate forwarding or security bypass; measured convergence meets the fabric profile.</x:v>
      </x:c>
      <x:c r="E39" s="14" t="str">
        <x:v>FAB-004; EVPN-002; TEST-004</x:v>
      </x:c>
      <x:c r="F39" s="14" t="str">
        <x:v>Historical CT catalogue; actual applicability required</x:v>
      </x:c>
      <x:c r="G39" s="22" t="str">
        <x:v>Unresolved</x:v>
      </x:c>
      <x:c r="H39" s="22" t="str"/>
      <x:c r="I39" s="22" t="str"/>
      <x:c r="J39" s="22" t="str"/>
    </x:row>
    <x:row r="40" ht="48" customHeight="1">
      <x:c r="A40" s="14" t="str">
        <x:v>CT-035</x:v>
      </x:c>
      <x:c r="B40" s="14" t="str">
        <x:v>CT procedure</x:v>
      </x:c>
      <x:c r="C40" s="14" t="str">
        <x:v>Compute co-residency and evacuation</x:v>
      </x:c>
      <x:c r="D40" s="14" t="str">
        <x:v>Placement, migration and HA restart all preserve the approved co-residency rules; insufficient eligible capacity rejects the action.</x:v>
      </x:c>
      <x:c r="E40" s="14" t="str">
        <x:v>THR-001; SDI-001; SDI-003; SDI-004; ZIP-005; SITE-004; CMP-001; CMP-003; PLACE-001; FUT-003; ASSUR-001; ASSUR-002</x:v>
      </x:c>
      <x:c r="F40" s="14" t="str">
        <x:v>Historical CT catalogue; actual applicability required</x:v>
      </x:c>
      <x:c r="G40" s="22" t="str">
        <x:v>Unresolved</x:v>
      </x:c>
      <x:c r="H40" s="22" t="str"/>
      <x:c r="I40" s="22" t="str"/>
      <x:c r="J40" s="22" t="str"/>
    </x:row>
    <x:row r="41" ht="38" customHeight="1">
      <x:c r="A41" s="14" t="str">
        <x:v>CT-036</x:v>
      </x:c>
      <x:c r="B41" s="14" t="str">
        <x:v>CT procedure</x:v>
      </x:c>
      <x:c r="C41" s="14" t="str">
        <x:v>Hypervisor and firmware baseline</x:v>
      </x:c>
      <x:c r="D41" s="14" t="str">
        <x:v>All mandatory baseline items are enforced; unsupported or unattested hosts are ineligible for the affected profile.</x:v>
      </x:c>
      <x:c r="E41" s="14" t="str">
        <x:v>CMP-002; IMG-001; IMG-002</x:v>
      </x:c>
      <x:c r="F41" s="14" t="str">
        <x:v>Historical CT catalogue; actual applicability required</x:v>
      </x:c>
      <x:c r="G41" s="22" t="str">
        <x:v>Unresolved</x:v>
      </x:c>
      <x:c r="H41" s="22" t="str"/>
      <x:c r="I41" s="22" t="str"/>
      <x:c r="J41" s="22" t="str"/>
    </x:row>
    <x:row r="42" ht="48" customHeight="1">
      <x:c r="A42" s="14" t="str">
        <x:v>CT-037</x:v>
      </x:c>
      <x:c r="B42" s="14" t="str">
        <x:v>CT procedure</x:v>
      </x:c>
      <x:c r="C42" s="14" t="str">
        <x:v>Storage tenant isolation</x:v>
      </x:c>
      <x:c r="D42" s="14" t="str">
        <x:v>Only the owning or explicitly authorized scope accesses data; no clone or mount circumvents zone/categorization policy.</x:v>
      </x:c>
      <x:c r="E42" s="14" t="str">
        <x:v>SVC-001; STO-001; FUT-003; ASSUR-002</x:v>
      </x:c>
      <x:c r="F42" s="14" t="str">
        <x:v>Historical CT catalogue; actual applicability required</x:v>
      </x:c>
      <x:c r="G42" s="22" t="str">
        <x:v>Unresolved</x:v>
      </x:c>
      <x:c r="H42" s="22" t="str"/>
      <x:c r="I42" s="22" t="str"/>
      <x:c r="J42" s="22" t="str"/>
    </x:row>
    <x:row r="43" ht="48" customHeight="1">
      <x:c r="A43" s="14" t="str">
        <x:v>CT-038</x:v>
      </x:c>
      <x:c r="B43" s="14" t="str">
        <x:v>CT procedure</x:v>
      </x:c>
      <x:c r="C43" s="14" t="str">
        <x:v>Encryption, key isolation and KMS outage</x:v>
      </x:c>
      <x:c r="D43" s="14" t="str">
        <x:v>No unauthorized decrypt or plaintext fallback; documented cache/restart behavior matches policy; recovery preserves authorized data.</x:v>
      </x:c>
      <x:c r="E43" s="14" t="str">
        <x:v>SITE-004; CRY-001; CRY-002; CRY-003; BKP-004; FAIL-002; FAIL-003</x:v>
      </x:c>
      <x:c r="F43" s="14" t="str">
        <x:v>Historical CT catalogue; actual applicability required</x:v>
      </x:c>
      <x:c r="G43" s="22" t="str">
        <x:v>Unresolved</x:v>
      </x:c>
      <x:c r="H43" s="22" t="str"/>
      <x:c r="I43" s="22" t="str"/>
      <x:c r="J43" s="22" t="str"/>
    </x:row>
    <x:row r="44" ht="48" customHeight="1">
      <x:c r="A44" s="14" t="str">
        <x:v>CT-039</x:v>
      </x:c>
      <x:c r="B44" s="14" t="str">
        <x:v>CT procedure</x:v>
      </x:c>
      <x:c r="C44" s="14" t="str">
        <x:v>Storage performance and contention</x:v>
      </x:c>
      <x:c r="D44" s="14" t="str">
        <x:v>Class limits and protected minimums hold under the accepted failure budget; overload rejects growth rather than bypassing controls.</x:v>
      </x:c>
      <x:c r="E44" s="14" t="str">
        <x:v>CMP-002; STO-002; REL-002; CAP-002</x:v>
      </x:c>
      <x:c r="F44" s="14" t="str">
        <x:v>Historical CT catalogue; actual applicability required</x:v>
      </x:c>
      <x:c r="G44" s="22" t="str">
        <x:v>Unresolved</x:v>
      </x:c>
      <x:c r="H44" s="22" t="str"/>
      <x:c r="I44" s="22" t="str"/>
      <x:c r="J44" s="22" t="str"/>
    </x:row>
    <x:row r="45" ht="38" customHeight="1">
      <x:c r="A45" s="14" t="str">
        <x:v>CT-040</x:v>
      </x:c>
      <x:c r="B45" s="14" t="str">
        <x:v>CT procedure</x:v>
      </x:c>
      <x:c r="C45" s="14" t="str">
        <x:v>Golden image provenance</x:v>
      </x:c>
      <x:c r="D45" s="14" t="str">
        <x:v>Only eligible images deploy; exceptions are explicit; rebuild output links to its source and component inventory.</x:v>
      </x:c>
      <x:c r="E45" s="14" t="str">
        <x:v>IMG-001; IMG-002; VULN-002</x:v>
      </x:c>
      <x:c r="F45" s="14" t="str">
        <x:v>Historical CT catalogue; actual applicability required</x:v>
      </x:c>
      <x:c r="G45" s="22" t="str">
        <x:v>Unresolved</x:v>
      </x:c>
      <x:c r="H45" s="22" t="str"/>
      <x:c r="I45" s="22" t="str"/>
      <x:c r="J45" s="22" t="str"/>
    </x:row>
    <x:row r="46" ht="48" customHeight="1">
      <x:c r="A46" s="14" t="str">
        <x:v>CT-041</x:v>
      </x:c>
      <x:c r="B46" s="14" t="str">
        <x:v>CT procedure</x:v>
      </x:c>
      <x:c r="C46" s="14" t="str">
        <x:v>Patch and vulnerability lifecycle</x:v>
      </x:c>
      <x:c r="D46" s="14" t="str">
        <x:v>No asset or firmware layer is omitted; overdue risk escalates; roll-forward/rollback preserves service and security.</x:v>
      </x:c>
      <x:c r="E46" s="14" t="str">
        <x:v>IMG-001; SUP-001; VULN-001; VULN-002</x:v>
      </x:c>
      <x:c r="F46" s="14" t="str">
        <x:v>Historical CT catalogue; actual applicability required</x:v>
      </x:c>
      <x:c r="G46" s="22" t="str">
        <x:v>Unresolved</x:v>
      </x:c>
      <x:c r="H46" s="22" t="str"/>
      <x:c r="I46" s="22" t="str"/>
      <x:c r="J46" s="22" t="str"/>
    </x:row>
    <x:row r="47" ht="38" customHeight="1">
      <x:c r="A47" s="14" t="str">
        <x:v>CT-042</x:v>
      </x:c>
      <x:c r="B47" s="14" t="str">
        <x:v>CT procedure</x:v>
      </x:c>
      <x:c r="C47" s="14" t="str">
        <x:v>Supply-chain and package provenance</x:v>
      </x:c>
      <x:c r="D47" s="14" t="str">
        <x:v>Tampered/unapproved artifacts never reach a privileged apply; lockfile changes require reviewed provenance.</x:v>
      </x:c>
      <x:c r="E47" s="14" t="str">
        <x:v>TF-001; TF-002; TF-005; CICD-002; SUP-001; VULN-001; VULN-002</x:v>
      </x:c>
      <x:c r="F47" s="14" t="str">
        <x:v>Historical CT catalogue; actual applicability required</x:v>
      </x:c>
      <x:c r="G47" s="22" t="str">
        <x:v>Unresolved</x:v>
      </x:c>
      <x:c r="H47" s="22" t="str"/>
      <x:c r="I47" s="22" t="str"/>
      <x:c r="J47" s="22" t="str"/>
    </x:row>
    <x:row r="48" ht="48" customHeight="1">
      <x:c r="A48" s="14" t="str">
        <x:v>CT-043</x:v>
      </x:c>
      <x:c r="B48" s="14" t="str">
        <x:v>CT procedure</x:v>
      </x:c>
      <x:c r="C48" s="14" t="str">
        <x:v>Terraform plan and state confidentiality</x:v>
      </x:c>
      <x:c r="D48" s="14" t="str">
        <x:v>Secrets are absent where promised; unavoidable secret-bearing artifacts remain encrypted, access-controlled and redacted from logs.</x:v>
      </x:c>
      <x:c r="E48" s="14" t="str">
        <x:v>TF-001; STATE-002; SEC-001; SEC-003; SEC-004</x:v>
      </x:c>
      <x:c r="F48" s="14" t="str">
        <x:v>Historical CT catalogue; actual applicability required</x:v>
      </x:c>
      <x:c r="G48" s="22" t="str">
        <x:v>Unresolved</x:v>
      </x:c>
      <x:c r="H48" s="22" t="str"/>
      <x:c r="I48" s="22" t="str"/>
      <x:c r="J48" s="22" t="str"/>
    </x:row>
    <x:row r="49" ht="48" customHeight="1">
      <x:c r="A49" s="14" t="str">
        <x:v>CT-044</x:v>
      </x:c>
      <x:c r="B49" s="14" t="str">
        <x:v>CT procedure</x:v>
      </x:c>
      <x:c r="C49" s="14" t="str">
        <x:v>State locking, recovery and grants</x:v>
      </x:c>
      <x:c r="D49" s="14" t="str">
        <x:v>Only one writer operates; restore is auditable; unauthorized state reads/writes fail; state rollback is not misrepresented as resource rollback.</x:v>
      </x:c>
      <x:c r="E49" s="14" t="str">
        <x:v>MGT-003; TF-003; TF-004; STATE-001; STATE-002; STATE-003; SEC-002; SEC-004; FAIL-003</x:v>
      </x:c>
      <x:c r="F49" s="14" t="str">
        <x:v>Historical CT catalogue; actual applicability required</x:v>
      </x:c>
      <x:c r="G49" s="22" t="str">
        <x:v>Unresolved</x:v>
      </x:c>
      <x:c r="H49" s="22" t="str"/>
      <x:c r="I49" s="22" t="str"/>
      <x:c r="J49" s="22" t="str"/>
    </x:row>
    <x:row r="50" ht="48" customHeight="1">
      <x:c r="A50" s="14" t="str">
        <x:v>CT-045</x:v>
      </x:c>
      <x:c r="B50" s="14" t="str">
        <x:v>CT procedure</x:v>
      </x:c>
      <x:c r="C50" s="14" t="str">
        <x:v>Partial apply and compensation</x:v>
      </x:c>
      <x:c r="D50" s="14" t="str">
        <x:v>No duplicate allocation or accidental destruction; unfinished resources remain quarantined; the journal supports safe resume or controlled compensation.</x:v>
      </x:c>
      <x:c r="E50" s="14" t="str">
        <x:v>INV-007; IPAM-004; NUT-004; AUTO-001; AUTO-002; AUTO-003; STATE-003</x:v>
      </x:c>
      <x:c r="F50" s="14" t="str">
        <x:v>Historical CT catalogue; actual applicability required</x:v>
      </x:c>
      <x:c r="G50" s="22" t="str">
        <x:v>Unresolved</x:v>
      </x:c>
      <x:c r="H50" s="22" t="str"/>
      <x:c r="I50" s="22" t="str"/>
      <x:c r="J50" s="22" t="str"/>
    </x:row>
    <x:row r="51" ht="48" customHeight="1">
      <x:c r="A51" s="14" t="str">
        <x:v>CT-046</x:v>
      </x:c>
      <x:c r="B51" s="14" t="str">
        <x:v>CT procedure</x:v>
      </x:c>
      <x:c r="C51" s="14" t="str">
        <x:v>Retries, optimistic concurrency and idempotency</x:v>
      </x:c>
      <x:c r="D51" s="14" t="str">
        <x:v>Replay returns the existing operation; stale updates conflict; one desired generation yields one accountable realization.</x:v>
      </x:c>
      <x:c r="E51" s="14" t="str">
        <x:v>IPAM-004; API-003; AUTO-002; AUTO-003</x:v>
      </x:c>
      <x:c r="F51" s="14" t="str">
        <x:v>Historical CT catalogue; actual applicability required</x:v>
      </x:c>
      <x:c r="G51" s="22" t="str">
        <x:v>Unresolved</x:v>
      </x:c>
      <x:c r="H51" s="22" t="str"/>
      <x:c r="I51" s="22" t="str"/>
      <x:c r="J51" s="22" t="str"/>
    </x:row>
    <x:row r="52" ht="48" customHeight="1">
      <x:c r="A52" s="14" t="str">
        <x:v>CT-047</x:v>
      </x:c>
      <x:c r="B52" s="14" t="str">
        <x:v>CT procedure</x:v>
      </x:c>
      <x:c r="C52" s="14" t="str">
        <x:v>API rate limit and backpressure</x:v>
      </x:c>
      <x:c r="D52" s="14" t="str">
        <x:v>Backpressure is visible and bounded; retry honors policy/jitter; permanent errors do not loop indefinitely or consume unbounded capacity.</x:v>
      </x:c>
      <x:c r="E52" s="14" t="str">
        <x:v>AUTO-003; CAP-002</x:v>
      </x:c>
      <x:c r="F52" s="14" t="str">
        <x:v>Historical CT catalogue; actual applicability required</x:v>
      </x:c>
      <x:c r="G52" s="22" t="str">
        <x:v>Unresolved</x:v>
      </x:c>
      <x:c r="H52" s="22" t="str"/>
      <x:c r="I52" s="22" t="str"/>
      <x:c r="J52" s="22" t="str"/>
    </x:row>
    <x:row r="53" ht="48" customHeight="1">
      <x:c r="A53" s="14" t="str">
        <x:v>CT-048</x:v>
      </x:c>
      <x:c r="B53" s="14" t="str">
        <x:v>CT procedure</x:v>
      </x:c>
      <x:c r="C53" s="14" t="str">
        <x:v>Approved-plan freshness</x:v>
      </x:c>
      <x:c r="D53" s="14" t="str">
        <x:v>Stale/unapproved plans are rejected and replanned; approved artifacts bind source, inputs, policy, identity and expiration.</x:v>
      </x:c>
      <x:c r="E53" s="14" t="str">
        <x:v>SDI-004; POL-002; AUTO-002; TF-002; TF-005; CICD-001; CICD-002; EVID-002</x:v>
      </x:c>
      <x:c r="F53" s="14" t="str">
        <x:v>Historical CT catalogue; actual applicability required</x:v>
      </x:c>
      <x:c r="G53" s="22" t="str">
        <x:v>Unresolved</x:v>
      </x:c>
      <x:c r="H53" s="22" t="str"/>
      <x:c r="I53" s="22" t="str"/>
      <x:c r="J53" s="22" t="str"/>
    </x:row>
    <x:row r="54" ht="48" customHeight="1">
      <x:c r="A54" s="14" t="str">
        <x:v>CT-049</x:v>
      </x:c>
      <x:c r="B54" s="14" t="str">
        <x:v>CT procedure</x:v>
      </x:c>
      <x:c r="C54" s="14" t="str">
        <x:v>Evidence integrity and authorization separation</x:v>
      </x:c>
      <x:c r="D54" s="14" t="str">
        <x:v>Tampering is detected; technical status never self-issues authorization; readiness follows current evidence and decision conditions.</x:v>
      </x:c>
      <x:c r="E54" s="14" t="str">
        <x:v>INV-006; AUTH-001; DRIFT-001; TEST-003; EVID-001; EVID-002; EVID-003; OBS-001; IR-002; ONB-001; ACPT-001</x:v>
      </x:c>
      <x:c r="F54" s="14" t="str">
        <x:v>Historical CT catalogue; actual applicability required</x:v>
      </x:c>
      <x:c r="G54" s="22" t="str">
        <x:v>Unresolved</x:v>
      </x:c>
      <x:c r="H54" s="22" t="str"/>
      <x:c r="I54" s="22" t="str"/>
      <x:c r="J54" s="22" t="str"/>
    </x:row>
    <x:row r="55" ht="48" customHeight="1">
      <x:c r="A55" s="14" t="str">
        <x:v>CT-050</x:v>
      </x:c>
      <x:c r="B55" s="14" t="str">
        <x:v>CT procedure</x:v>
      </x:c>
      <x:c r="C55" s="14" t="str">
        <x:v>Telemetry outage, buffering and retention</x:v>
      </x:c>
      <x:c r="D55" s="14" t="str">
        <x:v>Loss/overflow is alerted; buffering behavior matches profile; mandatory evidence gaps are visible; no silent control bypass.</x:v>
      </x:c>
      <x:c r="E55" s="14" t="str">
        <x:v>OBS-002; OBS-003; FAIL-002; FAIL-003</x:v>
      </x:c>
      <x:c r="F55" s="14" t="str">
        <x:v>Historical CT catalogue; actual applicability required</x:v>
      </x:c>
      <x:c r="G55" s="22" t="str">
        <x:v>Unresolved</x:v>
      </x:c>
      <x:c r="H55" s="22" t="str"/>
      <x:c r="I55" s="22" t="str"/>
      <x:c r="J55" s="22" t="str"/>
    </x:row>
    <x:row r="56" ht="48" customHeight="1">
      <x:c r="A56" s="14" t="str">
        <x:v>CT-051</x:v>
      </x:c>
      <x:c r="B56" s="14" t="str">
        <x:v>CT procedure</x:v>
      </x:c>
      <x:c r="C56" s="14" t="str">
        <x:v>Backup administrative separation and immutability</x:v>
      </x:c>
      <x:c r="D56" s="14" t="str">
        <x:v>Compromised production authority cannot alter the protected copy or its retention; authorized actions are separately accountable.</x:v>
      </x:c>
      <x:c r="E56" s="14" t="str">
        <x:v>BKP-001; BKP-003; BKP-004</x:v>
      </x:c>
      <x:c r="F56" s="14" t="str">
        <x:v>Historical CT catalogue; actual applicability required</x:v>
      </x:c>
      <x:c r="G56" s="22" t="str">
        <x:v>Unresolved</x:v>
      </x:c>
      <x:c r="H56" s="22" t="str"/>
      <x:c r="I56" s="22" t="str"/>
      <x:c r="J56" s="22" t="str"/>
    </x:row>
    <x:row r="57" ht="48" customHeight="1">
      <x:c r="A57" s="14" t="str">
        <x:v>CT-052</x:v>
      </x:c>
      <x:c r="B57" s="14" t="str">
        <x:v>CT procedure</x:v>
      </x:c>
      <x:c r="C57" s="14" t="str">
        <x:v>Application-consistent isolated restore</x:v>
      </x:c>
      <x:c r="D57" s="14" t="str">
        <x:v>Recovered data meets consistency/RPO and recovery timing; no production connection appears until authorized.</x:v>
      </x:c>
      <x:c r="E57" s="14" t="str">
        <x:v>SITE-003; STO-002; BKP-002; BKP-003; REL-001; FAIL-001; REC-001; REC-002; DEL-001</x:v>
      </x:c>
      <x:c r="F57" s="14" t="str">
        <x:v>Historical CT catalogue; actual applicability required</x:v>
      </x:c>
      <x:c r="G57" s="22" t="str">
        <x:v>Unresolved</x:v>
      </x:c>
      <x:c r="H57" s="22" t="str"/>
      <x:c r="I57" s="22" t="str"/>
      <x:c r="J57" s="22" t="str"/>
    </x:row>
    <x:row r="58" ht="38" customHeight="1">
      <x:c r="A58" s="14" t="str">
        <x:v>CT-053</x:v>
      </x:c>
      <x:c r="B58" s="14" t="str">
        <x:v>CT procedure</x:v>
      </x:c>
      <x:c r="C58" s="14" t="str">
        <x:v>Backup retention, holds and key survival</x:v>
      </x:c>
      <x:c r="D58" s="14" t="str">
        <x:v>Hold and retention are enforced; key lifetime supports required recovery; data is not prematurely destroyed.</x:v>
      </x:c>
      <x:c r="E58" s="14" t="str">
        <x:v>STO-001; STO-003; CRY-002; BKP-003; BKP-004; LIFE-002; LIFE-003</x:v>
      </x:c>
      <x:c r="F58" s="14" t="str">
        <x:v>Historical CT catalogue; actual applicability required</x:v>
      </x:c>
      <x:c r="G58" s="22" t="str">
        <x:v>Unresolved</x:v>
      </x:c>
      <x:c r="H58" s="22" t="str"/>
      <x:c r="I58" s="22" t="str"/>
      <x:c r="J58" s="22" t="str"/>
    </x:row>
    <x:row r="59" ht="61" customHeight="1">
      <x:c r="A59" s="14" t="str">
        <x:v>CT-054</x:v>
      </x:c>
      <x:c r="B59" s="14" t="str">
        <x:v>CT procedure</x:v>
      </x:c>
      <x:c r="C59" s="14" t="str">
        <x:v>Site loss, fencing and failback</x:v>
      </x:c>
      <x:c r="D59" s="14" t="str">
        <x:v>No split-brain or policy relaxation; measured RTO/RPO and data ownership match the recovery profile.</x:v>
      </x:c>
      <x:c r="E59" s="14" t="str">
        <x:v>SITE-001; SITE-002; SITE-003; SITE-004; BKP-002; REL-001; REL-002; TEST-004; FAIL-002; FAIL-003; REC-001; REC-002; MIG-003</x:v>
      </x:c>
      <x:c r="F59" s="14" t="str">
        <x:v>Historical CT catalogue; actual applicability required</x:v>
      </x:c>
      <x:c r="G59" s="22" t="str">
        <x:v>Unresolved</x:v>
      </x:c>
      <x:c r="H59" s="22" t="str"/>
      <x:c r="I59" s="22" t="str"/>
      <x:c r="J59" s="22" t="str"/>
    </x:row>
    <x:row r="60" ht="48" customHeight="1">
      <x:c r="A60" s="14" t="str">
        <x:v>CT-055</x:v>
      </x:c>
      <x:c r="B60" s="14" t="str">
        <x:v>CT procedure</x:v>
      </x:c>
      <x:c r="C60" s="14" t="str">
        <x:v>Management/control-plane bootstrap recovery</x:v>
      </x:c>
      <x:c r="D60" s="14" t="str">
        <x:v>Recovery does not require the unavailable production service it is restoring; credentials and old state remain accountable.</x:v>
      </x:c>
      <x:c r="E60" s="14" t="str">
        <x:v>MGT-005; SITE-001; CRY-003; STATE-002; FAIL-002; FAIL-003; REC-001; REC-002</x:v>
      </x:c>
      <x:c r="F60" s="14" t="str">
        <x:v>Historical CT catalogue; actual applicability required</x:v>
      </x:c>
      <x:c r="G60" s="22" t="str">
        <x:v>Unresolved</x:v>
      </x:c>
      <x:c r="H60" s="22" t="str"/>
      <x:c r="I60" s="22" t="str"/>
      <x:c r="J60" s="22" t="str"/>
    </x:row>
    <x:row r="61" ht="38" customHeight="1">
      <x:c r="A61" s="14" t="str">
        <x:v>CT-056</x:v>
      </x:c>
      <x:c r="B61" s="14" t="str">
        <x:v>CT procedure</x:v>
      </x:c>
      <x:c r="C61" s="14" t="str">
        <x:v>Resource and address capacity exhaustion</x:v>
      </x:c>
      <x:c r="D61" s="14" t="str">
        <x:v>Requests stop with an explicit reason; required HA/security headroom is not consumed or silently weakened.</x:v>
      </x:c>
      <x:c r="E61" s="14" t="str">
        <x:v>CMP-001; REL-002; PLACE-001; SVCM-001; CAP-001; CAP-002</x:v>
      </x:c>
      <x:c r="F61" s="14" t="str">
        <x:v>Historical CT catalogue; actual applicability required</x:v>
      </x:c>
      <x:c r="G61" s="22" t="str">
        <x:v>Unresolved</x:v>
      </x:c>
      <x:c r="H61" s="22" t="str"/>
      <x:c r="I61" s="22" t="str"/>
      <x:c r="J61" s="22" t="str"/>
    </x:row>
    <x:row r="62" ht="38" customHeight="1">
      <x:c r="A62" s="14" t="str">
        <x:v>CT-057</x:v>
      </x:c>
      <x:c r="B62" s="14" t="str">
        <x:v>CT procedure</x:v>
      </x:c>
      <x:c r="C62" s="14" t="str">
        <x:v>Incident quarantine and reconciler precedence</x:v>
      </x:c>
      <x:c r="D62" s="14" t="str">
        <x:v>Containment persists under higher-priority incident policy until released; unrelated tenants remain available.</x:v>
      </x:c>
      <x:c r="E62" s="14" t="str">
        <x:v>TEN-003; SUP-001; DRIFT-001; DRIFT-002; DRIFT-003; IR-001; IR-002</x:v>
      </x:c>
      <x:c r="F62" s="14" t="str">
        <x:v>Historical CT catalogue; actual applicability required</x:v>
      </x:c>
      <x:c r="G62" s="22" t="str">
        <x:v>Unresolved</x:v>
      </x:c>
      <x:c r="H62" s="22" t="str"/>
      <x:c r="I62" s="22" t="str"/>
      <x:c r="J62" s="22" t="str"/>
    </x:row>
    <x:row r="63" ht="48" customHeight="1">
      <x:c r="A63" s="14" t="str">
        <x:v>CT-058</x:v>
      </x:c>
      <x:c r="B63" s="14" t="str">
        <x:v>CT procedure</x:v>
      </x:c>
      <x:c r="C63" s="14" t="str">
        <x:v>Exception approval and expiry</x:v>
      </x:c>
      <x:c r="D63" s="14" t="str">
        <x:v>No unapproved exception grants access; expiry changes posture and triggers the documented action without indiscriminate destruction.</x:v>
      </x:c>
      <x:c r="E63" s="14" t="str">
        <x:v>RTE-003; CICD-001; DRIFT-003; ASSUR-003; EVID-003; IR-002; MIG-001; EXC-001; EXC-002; EXC-003</x:v>
      </x:c>
      <x:c r="F63" s="14" t="str">
        <x:v>Historical CT catalogue; actual applicability required</x:v>
      </x:c>
      <x:c r="G63" s="22" t="str">
        <x:v>Unresolved</x:v>
      </x:c>
      <x:c r="H63" s="22" t="str"/>
      <x:c r="I63" s="22" t="str"/>
      <x:c r="J63" s="22" t="str"/>
    </x:row>
    <x:row r="64" ht="48" customHeight="1">
      <x:c r="A64" s="14" t="str">
        <x:v>CT-059</x:v>
      </x:c>
      <x:c r="B64" s="14" t="str">
        <x:v>CT procedure</x:v>
      </x:c>
      <x:c r="C64" s="14" t="str">
        <x:v>Data sanitization and resource reuse</x:v>
      </x:c>
      <x:c r="D64" s="14" t="str">
        <x:v>New tenant cannot recover prior data; retained evidence identifies method, scope, exceptions and all surviving copies.</x:v>
      </x:c>
      <x:c r="E64" s="14" t="str">
        <x:v>STO-003; CRY-002; FUT-003; LIFE-001; LIFE-002; LIFE-003</x:v>
      </x:c>
      <x:c r="F64" s="14" t="str">
        <x:v>Historical CT catalogue; actual applicability required</x:v>
      </x:c>
      <x:c r="G64" s="22" t="str">
        <x:v>Unresolved</x:v>
      </x:c>
      <x:c r="H64" s="22" t="str"/>
      <x:c r="I64" s="22" t="str"/>
      <x:c r="J64" s="22" t="str"/>
    </x:row>
    <x:row r="65" ht="48" customHeight="1">
      <x:c r="A65" s="14" t="str">
        <x:v>CT-060</x:v>
      </x:c>
      <x:c r="B65" s="14" t="str">
        <x:v>CT procedure</x:v>
      </x:c>
      <x:c r="C65" s="14" t="str">
        <x:v>Portability and exit rehearsal</x:v>
      </x:c>
      <x:c r="D65" s="14" t="str">
        <x:v>Consumer semantics survive; downtime, data loss, format limitations and cost drivers are recorded; no untested live-migration claim.</x:v>
      </x:c>
      <x:c r="E65" s="14" t="str">
        <x:v>INV-005; REF-001; STO-002; PLACE-003; PORT-003; REC-002; MIG-001; MIG-002; MIG-003; DEL-002</x:v>
      </x:c>
      <x:c r="F65" s="14" t="str">
        <x:v>Historical CT catalogue; actual applicability required</x:v>
      </x:c>
      <x:c r="G65" s="22" t="str">
        <x:v>Unresolved</x:v>
      </x:c>
      <x:c r="H65" s="22" t="str"/>
      <x:c r="I65" s="22" t="str"/>
      <x:c r="J65" s="22" t="str"/>
    </x:row>
    <x:row r="66" ht="48" customHeight="1">
      <x:c r="A66" s="14" t="str">
        <x:v>CT-061</x:v>
      </x:c>
      <x:c r="B66" s="14" t="str">
        <x:v>CT procedure</x:v>
      </x:c>
      <x:c r="C66" s="14" t="str">
        <x:v>Location, privacy and support access</x:v>
      </x:c>
      <x:c r="D66" s="14" t="str">
        <x:v>Nonconforming placement/access is rejected; exceptions require the designated authority; residency is not asserted to settle jurisdiction.</x:v>
      </x:c>
      <x:c r="E66" s="14" t="str">
        <x:v>IPAM-002; SITE-004; PLACE-001; PLACE-002; PORT-002</x:v>
      </x:c>
      <x:c r="F66" s="14" t="str">
        <x:v>Historical CT catalogue; actual applicability required</x:v>
      </x:c>
      <x:c r="G66" s="22" t="str">
        <x:v>Unresolved</x:v>
      </x:c>
      <x:c r="H66" s="22" t="str"/>
      <x:c r="I66" s="22" t="str"/>
      <x:c r="J66" s="22" t="str"/>
    </x:row>
    <x:row r="67" ht="74" customHeight="1">
      <x:c r="A67" s="14" t="str">
        <x:v>CT-062</x:v>
      </x:c>
      <x:c r="B67" s="14" t="str">
        <x:v>CT procedure</x:v>
      </x:c>
      <x:c r="C67" s="14" t="str">
        <x:v>Shared responsibility and control inheritance</x:v>
      </x:c>
      <x:c r="D67" s="14" t="str">
        <x:v>No control is ownerless; inherited evidence is scoped, current and accepted; gaps block required readiness.</x:v>
      </x:c>
      <x:c r="E67" s="14" t="str">
        <x:v>SCOPE-001; STD-001; STD-002; CAT-001; THR-001; WSD-003; CMP-003; REL-001; SVCM-001; RESP-001; ASSUR-001; ASSUR-002; OPS-001; OPS-002; EXC-001; ONB-001; ACPT-001</x:v>
      </x:c>
      <x:c r="F67" s="14" t="str">
        <x:v>Historical CT catalogue; actual applicability required</x:v>
      </x:c>
      <x:c r="G67" s="22" t="str">
        <x:v>Unresolved</x:v>
      </x:c>
      <x:c r="H67" s="22" t="str"/>
      <x:c r="I67" s="22" t="str"/>
      <x:c r="J67" s="22" t="str"/>
    </x:row>
    <x:row r="68" ht="38" customHeight="1">
      <x:c r="A68" s="14" t="str">
        <x:v>CT-063</x:v>
      </x:c>
      <x:c r="B68" s="14" t="str">
        <x:v>CT procedure</x:v>
      </x:c>
      <x:c r="C68" s="14" t="str">
        <x:v>Public certificate and trusted proxy identity</x:v>
      </x:c>
      <x:c r="D68" s="14" t="str">
        <x:v>TLS identity is validated; backend trust is explicit; untrusted headers cannot impersonate the originating client.</x:v>
      </x:c>
      <x:c r="E68" s="14" t="str">
        <x:v>ING-002; EXP-001; CRY-001</x:v>
      </x:c>
      <x:c r="F68" s="14" t="str">
        <x:v>Historical CT catalogue; actual applicability required</x:v>
      </x:c>
      <x:c r="G68" s="22" t="str">
        <x:v>Unresolved</x:v>
      </x:c>
      <x:c r="H68" s="22" t="str"/>
      <x:c r="I68" s="22" t="str"/>
      <x:c r="J68" s="22" t="str"/>
    </x:row>
    <x:row r="69" ht="48" customHeight="1">
      <x:c r="A69" s="14" t="str">
        <x:v>CT-064</x:v>
      </x:c>
      <x:c r="B69" s="14" t="str">
        <x:v>CT procedure</x:v>
      </x:c>
      <x:c r="C69" s="14" t="str">
        <x:v>Egress policy and service-specific protocols</x:v>
      </x:c>
      <x:c r="D69" s="14" t="str">
        <x:v>Only approved egress semantics work; DNS/FQDN changes cannot silently widen policy; NAT is not treated as a security control by itself.</x:v>
      </x:c>
      <x:c r="E69" s="14" t="str">
        <x:v>EGR-001; EGR-002</x:v>
      </x:c>
      <x:c r="F69" s="14" t="str">
        <x:v>Historical CT catalogue; actual applicability required</x:v>
      </x:c>
      <x:c r="G69" s="22" t="str">
        <x:v>Unresolved</x:v>
      </x:c>
      <x:c r="H69" s="22" t="str"/>
      <x:c r="I69" s="22" t="str"/>
      <x:c r="J69" s="22" t="str"/>
    </x:row>
    <x:row r="70" ht="48" customHeight="1">
      <x:c r="A70" s="14" t="str">
        <x:v>CT-065</x:v>
      </x:c>
      <x:c r="B70" s="14" t="str">
        <x:v>CT procedure</x:v>
      </x:c>
      <x:c r="C70" s="14" t="str">
        <x:v>Privileged workload and container isolation</x:v>
      </x:c>
      <x:c r="D70" s="14" t="str">
        <x:v>Unapproved privilege escalation or host access is denied; namespace alone is not accepted as a qualified zone boundary.</x:v>
      </x:c>
      <x:c r="E70" s="14" t="str">
        <x:v>MICRO-003; FUT-001; FUT-002; FUT-003</x:v>
      </x:c>
      <x:c r="F70" s="14" t="str">
        <x:v>Historical CT catalogue; actual applicability required</x:v>
      </x:c>
      <x:c r="G70" s="22" t="str">
        <x:v>Unresolved</x:v>
      </x:c>
      <x:c r="H70" s="22" t="str"/>
      <x:c r="I70" s="22" t="str"/>
      <x:c r="J70" s="22" t="str"/>
    </x:row>
    <x:row r="71" ht="61" customHeight="1">
      <x:c r="A71" s="14" t="str">
        <x:v>CT-066</x:v>
      </x:c>
      <x:c r="B71" s="14" t="str">
        <x:v>CT procedure</x:v>
      </x:c>
      <x:c r="C71" s="14" t="str">
        <x:v>Policy precedence and immutable baseline</x:v>
      </x:c>
      <x:c r="D71" s="14" t="str">
        <x:v>Mandatory denies cannot be overridden by tenant policy; membership changes do not create a transient unrestricted interval.</x:v>
      </x:c>
      <x:c r="E71" s="14" t="str">
        <x:v>ZONE-002; ZIP-003; OVL-003; MICRO-001; MICRO-002; NUT-003; NSX-001; OS-001; POL-001; POL-002; FLOW-001; DRIFT-003; IR-002</x:v>
      </x:c>
      <x:c r="F71" s="14" t="str">
        <x:v>Historical CT catalogue; actual applicability required</x:v>
      </x:c>
      <x:c r="G71" s="22" t="str">
        <x:v>Unresolved</x:v>
      </x:c>
      <x:c r="H71" s="22" t="str"/>
      <x:c r="I71" s="22" t="str"/>
      <x:c r="J71" s="22" t="str"/>
    </x:row>
    <x:row r="72" ht="48" customHeight="1">
      <x:c r="A72" s="14" t="str">
        <x:v>CT-067</x:v>
      </x:c>
      <x:c r="B72" s="14" t="str">
        <x:v>CT procedure</x:v>
      </x:c>
      <x:c r="C72" s="14" t="str">
        <x:v>ZIP sensors, heightened posture and authority</x:v>
      </x:c>
      <x:c r="D72" s="14" t="str">
        <x:v>Posture change restricts intended flows, preserves declared essentials, and leaves a complete joint-authority record.</x:v>
      </x:c>
      <x:c r="E72" s="14" t="str">
        <x:v>ZIP-006; IR-001</x:v>
      </x:c>
      <x:c r="F72" s="14" t="str">
        <x:v>Historical CT catalogue; actual applicability required</x:v>
      </x:c>
      <x:c r="G72" s="22" t="str">
        <x:v>Unresolved</x:v>
      </x:c>
      <x:c r="H72" s="22" t="str"/>
      <x:c r="I72" s="22" t="str"/>
      <x:c r="J72" s="22" t="str"/>
    </x:row>
    <x:row r="73" ht="48" customHeight="1">
      <x:c r="A73" s="14" t="str">
        <x:v>CT-068</x:v>
      </x:c>
      <x:c r="B73" s="14" t="str">
        <x:v>CT procedure</x:v>
      </x:c>
      <x:c r="C73" s="14" t="str">
        <x:v>Time synchronization and correlation</x:v>
      </x:c>
      <x:c r="D73" s="14" t="str">
        <x:v>Excess skew is detected; certificate/evidence validation follows defined failure behavior; record ordering remains explainable.</x:v>
      </x:c>
      <x:c r="E73" s="14" t="str">
        <x:v>OBS-003</x:v>
      </x:c>
      <x:c r="F73" s="14" t="str">
        <x:v>Historical CT catalogue; actual applicability required</x:v>
      </x:c>
      <x:c r="G73" s="22" t="str">
        <x:v>Unresolved</x:v>
      </x:c>
      <x:c r="H73" s="22" t="str"/>
      <x:c r="I73" s="22" t="str"/>
      <x:c r="J73" s="22" t="str"/>
    </x:row>
    <x:row r="74" ht="74" customHeight="1">
      <x:c r="A74" s="14" t="str">
        <x:v>CT-069</x:v>
      </x:c>
      <x:c r="B74" s="14" t="str">
        <x:v>CT procedure</x:v>
      </x:c>
      <x:c r="C74" s="14" t="str">
        <x:v>Technical readiness gate</x:v>
      </x:c>
      <x:c r="D74" s="14" t="str">
        <x:v>Service Ready is false unless every mandatory condition for the current generation is satisfied.</x:v>
      </x:c>
      <x:c r="E74" s="14" t="str">
        <x:v>INV-006; AUTH-001; CAT-001; WSD-003; OVL-003; EXP-001; RESP-001; QUAL-001; AUTO-002; ASSUR-003; TEST-003; EVID-001; EVID-002; EVID-003; OPS-002; EXC-002; EXC-003; ONB-001; DEL-001; ACPT-001</x:v>
      </x:c>
      <x:c r="F74" s="14" t="str">
        <x:v>Historical CT catalogue; actual applicability required</x:v>
      </x:c>
      <x:c r="G74" s="22" t="str">
        <x:v>Unresolved</x:v>
      </x:c>
      <x:c r="H74" s="22" t="str"/>
      <x:c r="I74" s="22" t="str"/>
      <x:c r="J74" s="22" t="str"/>
    </x:row>
    <x:row r="75" ht="48" customHeight="1">
      <x:c r="A75" s="14" t="str">
        <x:v>CT-070</x:v>
      </x:c>
      <x:c r="B75" s="14" t="str">
        <x:v>CT procedure</x:v>
      </x:c>
      <x:c r="C75" s="14" t="str">
        <x:v>Contract upgrades and deletion finalizers</x:v>
      </x:c>
      <x:c r="D75" s="14" t="str">
        <x:v>No silent security expansion; shared resources survive while referenced; deletion cannot bypass approved finalizers.</x:v>
      </x:c>
      <x:c r="E75" s="14" t="str">
        <x:v>INV-001; MODEL-001; TEN-003; WSD-001; API-001; API-003; TF-004; STATE-003; LIFE-001; LIFE-002</x:v>
      </x:c>
      <x:c r="F75" s="14" t="str">
        <x:v>Historical CT catalogue; actual applicability required</x:v>
      </x:c>
      <x:c r="G75" s="22" t="str">
        <x:v>Unresolved</x:v>
      </x:c>
      <x:c r="H75" s="22" t="str"/>
      <x:c r="I75" s="22" t="str"/>
      <x:c r="J75" s="22" t="str"/>
    </x:row>
    <x:row r="76" ht="38" customHeight="1">
      <x:c r="A76" s="14" t="str">
        <x:v>CT-071</x:v>
      </x:c>
      <x:c r="B76" s="14" t="str">
        <x:v>CT procedure</x:v>
      </x:c>
      <x:c r="C76" s="14" t="str">
        <x:v>Foundation stability for overlay lifecycle</x:v>
      </x:c>
      <x:c r="D76" s="14" t="str">
        <x:v>No per-WSD switch change occurs; physical-capacity growth is classified as a separate foundation operation.</x:v>
      </x:c>
      <x:c r="E76" s="14" t="str">
        <x:v>ARCH-002; EDGE-001; FAB-001</x:v>
      </x:c>
      <x:c r="F76" s="14" t="str">
        <x:v>Historical CT catalogue; actual applicability required</x:v>
      </x:c>
      <x:c r="G76" s="22" t="str">
        <x:v>Unresolved</x:v>
      </x:c>
      <x:c r="H76" s="22" t="str"/>
      <x:c r="I76" s="22" t="str"/>
      <x:c r="J76" s="22" t="str"/>
    </x:row>
    <x:row r="77" ht="48" customHeight="1">
      <x:c r="A77" s="14" t="str">
        <x:v>CT-072</x:v>
      </x:c>
      <x:c r="B77" s="14" t="str">
        <x:v>CT procedure</x:v>
      </x:c>
      <x:c r="C77" s="14" t="str">
        <x:v>Bare-metal/fabric-routed service boundary</x:v>
      </x:c>
      <x:c r="D77" s="14" t="str">
        <x:v>Consumer contract remains portable; exceptions to overlay workflow are explicit; no unrestricted cross-domain route is introduced.</x:v>
      </x:c>
      <x:c r="E77" s="14" t="str">
        <x:v>ARCH-002; FAB-001; FAB-002; FAB-003; EVPN-001; FUT-003</x:v>
      </x:c>
      <x:c r="F77" s="14" t="str">
        <x:v>Historical CT catalogue; actual applicability required</x:v>
      </x:c>
      <x:c r="G77" s="22" t="str">
        <x:v>Unresolved</x:v>
      </x:c>
      <x:c r="H77" s="22" t="str"/>
      <x:c r="I77" s="22" t="str"/>
      <x:c r="J77" s="22" t="str"/>
    </x:row>
    <x:row r="78" ht="48" customHeight="1">
      <x:c r="A78" s="14" t="str">
        <x:v>CT-073</x:v>
      </x:c>
      <x:c r="B78" s="14" t="str">
        <x:v>CT procedure</x:v>
      </x:c>
      <x:c r="C78" s="14" t="str">
        <x:v>Image/data export compatibility</x:v>
      </x:c>
      <x:c r="D78" s="14" t="str">
        <x:v>Incompatibilities reject the selected exit path; data/identity are not assumed portable merely because a disk file converts.</x:v>
      </x:c>
      <x:c r="E78" s="14" t="str">
        <x:v>CMP-002; PLACE-003; PORT-003; MIG-003; DEL-002</x:v>
      </x:c>
      <x:c r="F78" s="14" t="str">
        <x:v>Historical CT catalogue; actual applicability required</x:v>
      </x:c>
      <x:c r="G78" s="22" t="str">
        <x:v>Unresolved</x:v>
      </x:c>
      <x:c r="H78" s="22" t="str"/>
      <x:c r="I78" s="22" t="str"/>
      <x:c r="J78" s="22" t="str"/>
    </x:row>
    <x:row r="79" ht="38" customHeight="1">
      <x:c r="A79" s="14" t="str">
        <x:v>CT-074</x:v>
      </x:c>
      <x:c r="B79" s="14" t="str">
        <x:v>CT procedure</x:v>
      </x:c>
      <x:c r="C79" s="14" t="str">
        <x:v>Procured-capacity and service inventory reconciliation</x:v>
      </x:c>
      <x:c r="D79" s="14" t="str">
        <x:v>No orphaned or double-counted capacity; unused procured capacity and support expiry are visible for planning.</x:v>
      </x:c>
      <x:c r="E79" s="14" t="str">
        <x:v>SVCM-002; CAP-003; VULN-001</x:v>
      </x:c>
      <x:c r="F79" s="14" t="str">
        <x:v>Historical CT catalogue; actual applicability required</x:v>
      </x:c>
      <x:c r="G79" s="22" t="str">
        <x:v>Unresolved</x:v>
      </x:c>
      <x:c r="H79" s="22" t="str"/>
      <x:c r="I79" s="22" t="str"/>
      <x:c r="J79" s="22" t="str"/>
    </x:row>
    <x:row r="80" ht="48" customHeight="1">
      <x:c r="A80" s="14" t="str">
        <x:v>CT-075</x:v>
      </x:c>
      <x:c r="B80" s="14" t="str">
        <x:v>CT procedure</x:v>
      </x:c>
      <x:c r="C80" s="14" t="str">
        <x:v>Document and catalogue completeness</x:v>
      </x:c>
      <x:c r="D80" s="14" t="str">
        <x:v>No missing or dangling item; counts and release digest agree; document status does not claim unexecuted platform tests passed.</x:v>
      </x:c>
      <x:c r="E80" s="14" t="str">
        <x:v>DOC-001; STD-001; STD-002; TEST-003; EVID-001</x:v>
      </x:c>
      <x:c r="F80" s="14" t="str">
        <x:v>Historical CT catalogue; actual applicability required</x:v>
      </x:c>
      <x:c r="G80" s="22" t="str">
        <x:v>Unresolved</x:v>
      </x:c>
      <x:c r="H80" s="22" t="str"/>
      <x:c r="I80" s="22" t="str"/>
      <x:c r="J80" s="22" t="str"/>
    </x:row>
    <x:row r="81" ht="48" customHeight="1">
      <x:c r="A81" s="14" t="str">
        <x:v>CT-076</x:v>
      </x:c>
      <x:c r="B81" s="14" t="str">
        <x:v>CT procedure</x:v>
      </x:c>
      <x:c r="C81" s="14" t="str">
        <x:v>External partner agreement and revocation</x:v>
      </x:c>
      <x:c r="D81" s="14" t="str">
        <x:v>Revocation removes intended access within the agreed interval; no REZ assumption is inferred merely from a private circuit.</x:v>
      </x:c>
      <x:c r="E81" s="14" t="str">
        <x:v>ZONE-001; MIG-001</x:v>
      </x:c>
      <x:c r="F81" s="14" t="str">
        <x:v>Historical CT catalogue; actual applicability required</x:v>
      </x:c>
      <x:c r="G81" s="22" t="str">
        <x:v>Unresolved</x:v>
      </x:c>
      <x:c r="H81" s="22" t="str"/>
      <x:c r="I81" s="22" t="str"/>
      <x:c r="J81" s="22" t="str"/>
    </x:row>
    <x:row r="82" ht="48" customHeight="1">
      <x:c r="A82" s="14" t="str">
        <x:v>CT-077</x:v>
      </x:c>
      <x:c r="B82" s="14" t="str">
        <x:v>CT procedure</x:v>
      </x:c>
      <x:c r="C82" s="14" t="str">
        <x:v>Flow revocation and live session semantics</x:v>
      </x:c>
      <x:c r="D82" s="14" t="str">
        <x:v>New sessions are denied immediately upon committed policy; existing sessions are terminated or drained within the explicitly approved interval.</x:v>
      </x:c>
      <x:c r="E82" s="14" t="str">
        <x:v>ZIP-006; RTE-003; SVC-003; EXP-001; IAM-003; FLOW-001</x:v>
      </x:c>
      <x:c r="F82" s="14" t="str">
        <x:v>Historical CT catalogue; actual applicability required</x:v>
      </x:c>
      <x:c r="G82" s="22" t="str">
        <x:v>Unresolved</x:v>
      </x:c>
      <x:c r="H82" s="22" t="str"/>
      <x:c r="I82" s="22" t="str"/>
      <x:c r="J82" s="22" t="str"/>
    </x:row>
    <x:row r="83" ht="38" customHeight="1">
      <x:c r="A83" s="14" t="str">
        <x:v>CT-078</x:v>
      </x:c>
      <x:c r="B83" s="14" t="str">
        <x:v>CT procedure</x:v>
      </x:c>
      <x:c r="C83" s="14" t="str">
        <x:v>Storage clone, snapshot and export classification</x:v>
      </x:c>
      <x:c r="D83" s="14" t="str">
        <x:v>Data copies preserve classification and key/access constraints; unapproved downgrade or public export is denied.</x:v>
      </x:c>
      <x:c r="E83" s="14" t="str">
        <x:v>STO-001; STO-003; LIFE-002; MIG-003</x:v>
      </x:c>
      <x:c r="F83" s="14" t="str">
        <x:v>Historical CT catalogue; actual applicability required</x:v>
      </x:c>
      <x:c r="G83" s="22" t="str">
        <x:v>Unresolved</x:v>
      </x:c>
      <x:c r="H83" s="22" t="str"/>
      <x:c r="I83" s="22" t="str"/>
      <x:c r="J83" s="22" t="str"/>
    </x:row>
    <x:row r="84" ht="48" customHeight="1">
      <x:c r="A84" s="14" t="str">
        <x:v>CT-079</x:v>
      </x:c>
      <x:c r="B84" s="14" t="str">
        <x:v>CT procedure</x:v>
      </x:c>
      <x:c r="C84" s="14" t="str">
        <x:v>Provider/support access time limit</x:v>
      </x:c>
      <x:c r="D84" s="14" t="str">
        <x:v>No unattended permanent privileged access remains; transferred diagnostics follow approved location and redaction rules.</x:v>
      </x:c>
      <x:c r="E84" s="14" t="str">
        <x:v>MGT-004; IAM-002; IAM-003; PLACE-002; SEC-002; OPS-001</x:v>
      </x:c>
      <x:c r="F84" s="14" t="str">
        <x:v>Historical CT catalogue; actual applicability required</x:v>
      </x:c>
      <x:c r="G84" s="22" t="str">
        <x:v>Unresolved</x:v>
      </x:c>
      <x:c r="H84" s="22" t="str"/>
      <x:c r="I84" s="22" t="str"/>
      <x:c r="J84" s="22" t="str"/>
    </x:row>
    <x:row r="85" ht="61" customHeight="1">
      <x:c r="A85" s="14" t="str">
        <x:v>CT-080</x:v>
      </x:c>
      <x:c r="B85" s="14" t="str">
        <x:v>CT procedure</x:v>
      </x:c>
      <x:c r="C85" s="14" t="str">
        <x:v>Distributed ZIP equivalence</x:v>
      </x:c>
      <x:c r="D85" s="14" t="str">
        <x:v>Logical ZIP semantics are fully met; missing inspection, attribution, failure isolation or authority support rejects qualification.</x:v>
      </x:c>
      <x:c r="E85" s="14" t="str">
        <x:v>INV-002; THR-001; ZIP-001; ZIP-005; ZIP-006; ZIP-007; OVL-001; EDGE-002; PORT-001; NUT-004; NSX-003; OS-003; FUT-001</x:v>
      </x:c>
      <x:c r="F85" s="14" t="str">
        <x:v>Historical CT catalogue; actual applicability required</x:v>
      </x:c>
      <x:c r="G85" s="22" t="str">
        <x:v>Unresolved</x:v>
      </x:c>
      <x:c r="H85" s="22" t="str"/>
      <x:c r="I85" s="22" t="str"/>
      <x:c r="J85" s="22" t="str"/>
    </x:row>
    <x:row r="86" ht="38" customHeight="1">
      <x:c r="A86" s="14" t="str">
        <x:v>RA-01</x:v>
      </x:c>
      <x:c r="B86" s="14" t="str">
        <x:v>Realization addendum</x:v>
      </x:c>
      <x:c r="C86" s="14" t="str">
        <x:v>Independent native domain routing</x:v>
      </x:c>
      <x:c r="D86" s="14" t="str">
        <x:v>Only the approved logical ZIP path is usable; native forwarding cannot bypass it.</x:v>
      </x:c>
      <x:c r="E86" s="14" t="str">
        <x:v>CT-003; CT-009; CT-023; CT-025</x:v>
      </x:c>
      <x:c r="F86" s="14" t="str">
        <x:v>Historical realization addenda; actual applicability required</x:v>
      </x:c>
      <x:c r="G86" s="22" t="str">
        <x:v>Unresolved</x:v>
      </x:c>
      <x:c r="H86" s="22" t="str"/>
      <x:c r="I86" s="22" t="str"/>
      <x:c r="J86" s="22" t="str"/>
    </x:row>
    <x:row r="87" ht="38" customHeight="1">
      <x:c r="A87" s="14" t="str">
        <x:v>RA-02</x:v>
      </x:c>
      <x:c r="B87" s="14" t="str">
        <x:v>Realization addendum</x:v>
      </x:c>
      <x:c r="C87" s="14" t="str">
        <x:v>NSX isolated upstream reference</x:v>
      </x:c>
      <x:c r="D87" s="14" t="str">
        <x:v>Independent domains remain isolated; the approved stateful path and session behaviour match the profile.</x:v>
      </x:c>
      <x:c r="E87" s="14" t="str">
        <x:v>CT-003; CT-024; CT-080</x:v>
      </x:c>
      <x:c r="F87" s="14" t="str">
        <x:v>Historical realization addenda; actual applicability required</x:v>
      </x:c>
      <x:c r="G87" s="22" t="str">
        <x:v>Unresolved</x:v>
      </x:c>
      <x:c r="H87" s="22" t="str"/>
      <x:c r="I87" s="22" t="str"/>
      <x:c r="J87" s="22" t="str"/>
    </x:row>
    <x:row r="88" ht="38" customHeight="1">
      <x:c r="A88" s="14" t="str">
        <x:v>RA-03</x:v>
      </x:c>
      <x:c r="B88" s="14" t="str">
        <x:v>Realization addendum</x:v>
      </x:c>
      <x:c r="C88" s="14" t="str">
        <x:v>Nutanix external attachment reference</x:v>
      </x:c>
      <x:c r="D88" s="14" t="str">
        <x:v>Sharing physical transport does not create direct VPC-to-VPC or workload-to-management access.</x:v>
      </x:c>
      <x:c r="E88" s="14" t="str">
        <x:v>CT-023; CT-024; CT-031</x:v>
      </x:c>
      <x:c r="F88" s="14" t="str">
        <x:v>Historical realization addenda; actual applicability required</x:v>
      </x:c>
      <x:c r="G88" s="22" t="str">
        <x:v>Unresolved</x:v>
      </x:c>
      <x:c r="H88" s="22" t="str"/>
      <x:c r="I88" s="22" t="str"/>
      <x:c r="J88" s="22" t="str"/>
    </x:row>
    <x:row r="89" ht="48" customHeight="1">
      <x:c r="A89" s="14" t="str">
        <x:v>RA-04</x:v>
      </x:c>
      <x:c r="B89" s="14" t="str">
        <x:v>Realization addendum</x:v>
      </x:c>
      <x:c r="C89" s="14" t="str">
        <x:v>OpenStack backend and authority reference</x:v>
      </x:c>
      <x:c r="D89" s="14" t="str">
        <x:v>Tenant operations cannot remove mandatory isolation, create an unapproved external path or bypass the intended boundary.</x:v>
      </x:c>
      <x:c r="E89" s="14" t="str">
        <x:v>CT-017; CT-021; CT-022; CT-066</x:v>
      </x:c>
      <x:c r="F89" s="14" t="str">
        <x:v>Historical realization addenda; actual applicability required</x:v>
      </x:c>
      <x:c r="G89" s="22" t="str">
        <x:v>Unresolved</x:v>
      </x:c>
      <x:c r="H89" s="22" t="str"/>
      <x:c r="I89" s="22" t="str"/>
      <x:c r="J89" s="22" t="str"/>
    </x:row>
    <x:row r="90" ht="38" customHeight="1">
      <x:c r="A90" s="14" t="str">
        <x:v>RA-05</x:v>
      </x:c>
      <x:c r="B90" s="14" t="str">
        <x:v>Realization addendum</x:v>
      </x:c>
      <x:c r="C90" s="14" t="str">
        <x:v>Physical and platform overlay demarcation</x:v>
      </x:c>
      <x:c r="D90" s="14" t="str">
        <x:v>Fabric interoperability does not import tenant routes or federate vendor overlays outside approved scope.</x:v>
      </x:c>
      <x:c r="E90" s="14" t="str">
        <x:v>CT-032; CT-033; CT-034</x:v>
      </x:c>
      <x:c r="F90" s="14" t="str">
        <x:v>Historical realization addenda; actual applicability required</x:v>
      </x:c>
      <x:c r="G90" s="22" t="str">
        <x:v>Unresolved</x:v>
      </x:c>
      <x:c r="H90" s="22" t="str"/>
      <x:c r="I90" s="22" t="str"/>
      <x:c r="J90" s="22" t="str"/>
    </x:row>
    <x:row r="91" ht="38" customHeight="1">
      <x:c r="A91" s="14" t="str">
        <x:v>RA-06</x:v>
      </x:c>
      <x:c r="B91" s="14" t="str">
        <x:v>Realization addendum</x:v>
      </x:c>
      <x:c r="C91" s="14" t="str">
        <x:v>Bootstrap ownership transition</x:v>
      </x:c>
      <x:c r="D91" s="14" t="str">
        <x:v>No circular recovery dependency or untracked residual bootstrap privilege remains.</x:v>
      </x:c>
      <x:c r="E91" s="14" t="str">
        <x:v>CT-026; CT-027; CT-055</x:v>
      </x:c>
      <x:c r="F91" s="14" t="str">
        <x:v>Historical realization addenda; actual applicability required</x:v>
      </x:c>
      <x:c r="G91" s="22" t="str">
        <x:v>Unresolved</x:v>
      </x:c>
      <x:c r="H91" s="22" t="str"/>
      <x:c r="I91" s="22" t="str"/>
      <x:c r="J91" s="22" t="str"/>
    </x:row>
    <x:row r="92" ht="38" customHeight="1">
      <x:c r="A92" s="14" t="str">
        <x:v>RA-07</x:v>
      </x:c>
      <x:c r="B92" s="14" t="str">
        <x:v>Realization addendum</x:v>
      </x:c>
      <x:c r="C92" s="14" t="str">
        <x:v>Composite provider authority</x:v>
      </x:c>
      <x:c r="D92" s="14" t="str">
        <x:v>Coordination does not create a shared all-powerful state/identity or destroy shared/data resources on failure.</x:v>
      </x:c>
      <x:c r="E92" s="14" t="str">
        <x:v>CT-019; CT-043; CT-044; CT-045</x:v>
      </x:c>
      <x:c r="F92" s="14" t="str">
        <x:v>Historical realization addenda; actual applicability required</x:v>
      </x:c>
      <x:c r="G92" s="22" t="str">
        <x:v>Unresolved</x:v>
      </x:c>
      <x:c r="H92" s="22" t="str"/>
      <x:c r="I92" s="22" t="str"/>
      <x:c r="J92" s="22" t="str"/>
    </x:row>
    <x:row r="93" ht="48" customHeight="1">
      <x:c r="A93" s="14" t="str">
        <x:v>RA-08</x:v>
      </x:c>
      <x:c r="B93" s="14" t="str">
        <x:v>Realization addendum</x:v>
      </x:c>
      <x:c r="C93" s="14" t="str">
        <x:v>Persistent platform versus temporary transfer networks</x:v>
      </x:c>
      <x:c r="D93" s="14" t="str">
        <x:v>Persistent platform operation remains within its authority; temporary transfer access is removed without dismantling platform foundations.</x:v>
      </x:c>
      <x:c r="E93" s="14" t="str">
        <x:v>CT-035; CT-054; CT-060; CT-076</x:v>
      </x:c>
      <x:c r="F93" s="14" t="str">
        <x:v>Historical realization addenda; actual applicability required</x:v>
      </x:c>
      <x:c r="G93" s="22" t="str">
        <x:v>Unresolved</x:v>
      </x:c>
      <x:c r="H93" s="22" t="str"/>
      <x:c r="I93" s="22" t="str"/>
      <x:c r="J93" s="22" t="str"/>
    </x:row>
    <x:row r="94" ht="38" customHeight="1">
      <x:c r="A94" s="14" t="str">
        <x:v>RA-09</x:v>
      </x:c>
      <x:c r="B94" s="14" t="str">
        <x:v>Realization addendum</x:v>
      </x:c>
      <x:c r="C94" s="14" t="str">
        <x:v>Brownfield non-destructive adoption</x:v>
      </x:c>
      <x:c r="D94" s="14" t="str">
        <x:v>No unapproved replacement or competing writer is introduced; adoption does not falsely assert compliance.</x:v>
      </x:c>
      <x:c r="E94" s="14" t="str">
        <x:v>CT-044; CT-048; CT-070</x:v>
      </x:c>
      <x:c r="F94" s="14" t="str">
        <x:v>Historical realization addenda; actual applicability required</x:v>
      </x:c>
      <x:c r="G94" s="22" t="str">
        <x:v>Unresolved</x:v>
      </x:c>
      <x:c r="H94" s="22" t="str"/>
      <x:c r="I94" s="22" t="str"/>
      <x:c r="J94" s="22" t="str"/>
    </x:row>
    <x:row r="95" ht="38" customHeight="1">
      <x:c r="A95" s="14" t="str">
        <x:v>RA-10</x:v>
      </x:c>
      <x:c r="B95" s="14" t="str">
        <x:v>Realization addendum</x:v>
      </x:c>
      <x:c r="C95" s="14" t="str">
        <x:v>Activation sequencing</x:v>
      </x:c>
      <x:c r="D95" s="14" t="str">
        <x:v>No unprotected creation window; failed activation withdraws exposure while preserving data-safe recovery.</x:v>
      </x:c>
      <x:c r="E95" s="14" t="str">
        <x:v>CT-006; CT-007; CT-045; CT-069; CT-077</x:v>
      </x:c>
      <x:c r="F95" s="14" t="str">
        <x:v>Historical realization addenda; actual applicability required</x:v>
      </x:c>
      <x:c r="G95" s="22" t="str">
        <x:v>Unresolved</x:v>
      </x:c>
      <x:c r="H95" s="22" t="str"/>
      <x:c r="I95" s="22" t="str"/>
      <x:c r="J95" s="22" t="str"/>
    </x:row>
    <x:row r="96" ht="38" customHeight="1">
      <x:c r="A96" s="14" t="str">
        <x:v>RA-11</x:v>
      </x:c>
      <x:c r="B96" s="14" t="str">
        <x:v>Realization addendum</x:v>
      </x:c>
      <x:c r="C96" s="14" t="str">
        <x:v>Compute, management and storage sharing</x:v>
      </x:c>
      <x:c r="D96" s="14" t="str">
        <x:v>Actual co-residency and shared dependencies match the approved isolation design, including recovery states.</x:v>
      </x:c>
      <x:c r="E96" s="14" t="str">
        <x:v>CT-026; CT-035; CT-037; CT-078</x:v>
      </x:c>
      <x:c r="F96" s="14" t="str">
        <x:v>Historical realization addenda; actual applicability required</x:v>
      </x:c>
      <x:c r="G96" s="22" t="str">
        <x:v>Unresolved</x:v>
      </x:c>
      <x:c r="H96" s="22" t="str"/>
      <x:c r="I96" s="22" t="str"/>
      <x:c r="J96" s="22" t="str"/>
    </x:row>
    <x:row r="97" ht="48" customHeight="1">
      <x:c r="A97" s="14" t="str">
        <x:v>RA-12</x:v>
      </x:c>
      <x:c r="B97" s="14" t="str">
        <x:v>Realization addendum</x:v>
      </x:c>
      <x:c r="C97" s="14" t="str">
        <x:v>Commissioned capacity and growth boundary</x:v>
      </x:c>
      <x:c r="D97" s="14" t="str">
        <x:v>The workflow queues/rejects or selects eligible capacity; it does not rewire the fabric or weaken isolation as an undocumented tenant operation.</x:v>
      </x:c>
      <x:c r="E97" s="14" t="str">
        <x:v>CT-056; CT-071; CT-072; CT-074</x:v>
      </x:c>
      <x:c r="F97" s="14" t="str">
        <x:v>Historical realization addenda; actual applicability required</x:v>
      </x:c>
      <x:c r="G97" s="22" t="str">
        <x:v>Unresolved</x:v>
      </x:c>
      <x:c r="H97" s="22" t="str"/>
      <x:c r="I97" s="22" t="str"/>
      <x:c r="J97" s="22" t="str"/>
    </x:row>
    <x:row r="98" ht="38" customHeight="1">
      <x:c r="A98" s="14" t="str">
        <x:v>W14-01</x:v>
      </x:c>
      <x:c r="B98" s="14" t="str">
        <x:v>Worked-design assertion</x:v>
      </x:c>
      <x:c r="C98" s="14" t="str">
        <x:v>W14-01 / routing completeness</x:v>
      </x:c>
      <x:c r="D98" s="14" t="str">
        <x:v>Every domain, edge, service next hop and return path matches the approved schedule.</x:v>
      </x:c>
      <x:c r="E98" s="14" t="str">
        <x:v>CT-003, CT-009, CT-023, CT-024 / NOT RUN</x:v>
      </x:c>
      <x:c r="F98" s="14" t="str">
        <x:v>WD v1.4 §13</x:v>
      </x:c>
      <x:c r="G98" s="22" t="str">
        <x:v>Unresolved</x:v>
      </x:c>
      <x:c r="H98" s="22" t="str"/>
      <x:c r="I98" s="22" t="str"/>
      <x:c r="J98" s="22" t="str"/>
    </x:row>
    <x:row r="99" ht="48" customHeight="1">
      <x:c r="A99" s="14" t="str">
        <x:v>W14-02</x:v>
      </x:c>
      <x:c r="B99" s="14" t="str">
        <x:v>Worked-design assertion</x:v>
      </x:c>
      <x:c r="C99" s="14" t="str">
        <x:v>W14-02 / service isolation</x:v>
      </x:c>
      <x:c r="D99" s="14" t="str">
        <x:v>Only named service endpoints and authorized resource scope are reachable; router/admin and other tenant targets deny.</x:v>
      </x:c>
      <x:c r="E99" s="14" t="str">
        <x:v>CT-004, CT-008, CT-037 / NOT RUN</x:v>
      </x:c>
      <x:c r="F99" s="14" t="str">
        <x:v>WD v1.4 §13</x:v>
      </x:c>
      <x:c r="G99" s="22" t="str">
        <x:v>Unresolved</x:v>
      </x:c>
      <x:c r="H99" s="22" t="str"/>
      <x:c r="I99" s="22" t="str"/>
      <x:c r="J99" s="22" t="str"/>
    </x:row>
    <x:row r="100" ht="38" customHeight="1">
      <x:c r="A100" s="14" t="str">
        <x:v>W14-03</x:v>
      </x:c>
      <x:c r="B100" s="14" t="str">
        <x:v>Worked-design assertion</x:v>
      </x:c>
      <x:c r="C100" s="14" t="str">
        <x:v>W14-03 / mandatory policy authority</x:v>
      </x:c>
      <x:c r="D100" s="14" t="str">
        <x:v>Tenant roles cannot attach a permissive group, disable port security or create an alternative native path.</x:v>
      </x:c>
      <x:c r="E100" s="14" t="str">
        <x:v>CT-019, CT-020, CT-022, CT-066 / NOT RUN</x:v>
      </x:c>
      <x:c r="F100" s="14" t="str">
        <x:v>WD v1.4 §13</x:v>
      </x:c>
      <x:c r="G100" s="22" t="str">
        <x:v>Unresolved</x:v>
      </x:c>
      <x:c r="H100" s="22" t="str"/>
      <x:c r="I100" s="22" t="str"/>
      <x:c r="J100" s="22" t="str"/>
    </x:row>
    <x:row r="101" ht="38" customHeight="1">
      <x:c r="A101" s="14" t="str">
        <x:v>W14-04</x:v>
      </x:c>
      <x:c r="B101" s="14" t="str">
        <x:v>Worked-design assertion</x:v>
      </x:c>
      <x:c r="C101" s="14" t="str">
        <x:v>W14-04 / family completeness</x:v>
      </x:c>
      <x:c r="D101" s="14" t="str">
        <x:v>Each offered address family has working allocation, routes, service replies, local controls and recovery.</x:v>
      </x:c>
      <x:c r="E101" s="14" t="str">
        <x:v>CT-002, CT-031, CT-032 / NOT RUN</x:v>
      </x:c>
      <x:c r="F101" s="14" t="str">
        <x:v>WD v1.4 §13</x:v>
      </x:c>
      <x:c r="G101" s="22" t="str">
        <x:v>Unresolved</x:v>
      </x:c>
      <x:c r="H101" s="22" t="str"/>
      <x:c r="I101" s="22" t="str"/>
      <x:c r="J101" s="22" t="str"/>
    </x:row>
    <x:row r="102" ht="38" customHeight="1">
      <x:c r="A102" s="14" t="str">
        <x:v>W14-05</x:v>
      </x:c>
      <x:c r="B102" s="14" t="str">
        <x:v>Worked-design assertion</x:v>
      </x:c>
      <x:c r="C102" s="14" t="str">
        <x:v>W14-05 / DNS completeness</x:v>
      </x:c>
      <x:c r="D102" s="14" t="str">
        <x:v>UDP, direct TCP and truncation/fallback work only against approved resolvers.</x:v>
      </x:c>
      <x:c r="E102" s="14" t="str">
        <x:v>CT-008 plus explicit protocol observations / NOT RUN</x:v>
      </x:c>
      <x:c r="F102" s="14" t="str">
        <x:v>WD v1.4 §13</x:v>
      </x:c>
      <x:c r="G102" s="22" t="str">
        <x:v>Unresolved</x:v>
      </x:c>
      <x:c r="H102" s="22" t="str"/>
      <x:c r="I102" s="22" t="str"/>
      <x:c r="J102" s="22" t="str"/>
    </x:row>
    <x:row r="103" ht="38" customHeight="1">
      <x:c r="A103" s="14" t="str">
        <x:v>W14-06</x:v>
      </x:c>
      <x:c r="B103" s="14" t="str">
        <x:v>Worked-design assertion</x:v>
      </x:c>
      <x:c r="C103" s="14" t="str">
        <x:v>W14-06 / intra-domain fixture</x:v>
      </x:c>
      <x:c r="D103" s="14" t="str">
        <x:v>Temporary probe verifies same-host and cross-host controls where that placement is approved.</x:v>
      </x:c>
      <x:c r="E103" s="14" t="str">
        <x:v>CT-021, CT-035 / NOT RUN</x:v>
      </x:c>
      <x:c r="F103" s="14" t="str">
        <x:v>WD v1.4 §13</x:v>
      </x:c>
      <x:c r="G103" s="22" t="str">
        <x:v>Unresolved</x:v>
      </x:c>
      <x:c r="H103" s="22" t="str"/>
      <x:c r="I103" s="22" t="str"/>
      <x:c r="J103" s="22" t="str"/>
    </x:row>
    <x:row r="104" ht="38" customHeight="1">
      <x:c r="A104" s="14" t="str">
        <x:v>W14-07</x:v>
      </x:c>
      <x:c r="B104" s="14" t="str">
        <x:v>Worked-design assertion</x:v>
      </x:c>
      <x:c r="C104" s="14" t="str">
        <x:v>W14-07 / admission accounting</x:v>
      </x:c>
      <x:c r="D104" s="14" t="str">
        <x:v>Compute, data, context, service and edge commitments fit the same accepted failure basis.</x:v>
      </x:c>
      <x:c r="E104" s="14" t="str">
        <x:v>CT-039, CT-056, CT-074 / NOT RUN</x:v>
      </x:c>
      <x:c r="F104" s="14" t="str">
        <x:v>WD v1.4 §13</x:v>
      </x:c>
      <x:c r="G104" s="22" t="str">
        <x:v>Unresolved</x:v>
      </x:c>
      <x:c r="H104" s="22" t="str"/>
      <x:c r="I104" s="22" t="str"/>
      <x:c r="J104" s="22" t="str"/>
    </x:row>
    <x:row r="105" ht="38" customHeight="1">
      <x:c r="A105" s="14" t="str">
        <x:v>W14-08</x:v>
      </x:c>
      <x:c r="B105" s="14" t="str">
        <x:v>Worked-design assertion</x:v>
      </x:c>
      <x:c r="C105" s="14" t="str">
        <x:v>W14-08 / lost executor</x:v>
      </x:c>
      <x:c r="D105" s="14" t="str">
        <x:v>Accepted native tasks and side effects are discovered; no duplicate allocation or competing writer appears.</x:v>
      </x:c>
      <x:c r="E105" s="14" t="str">
        <x:v>CT-044, CT-045, CT-046 / NOT RUN</x:v>
      </x:c>
      <x:c r="F105" s="14" t="str">
        <x:v>WD v1.4 §13</x:v>
      </x:c>
      <x:c r="G105" s="22" t="str">
        <x:v>Unresolved</x:v>
      </x:c>
      <x:c r="H105" s="22" t="str"/>
      <x:c r="I105" s="22" t="str"/>
      <x:c r="J105" s="22" t="str"/>
    </x:row>
    <x:row r="106" ht="38" customHeight="1">
      <x:c r="A106" s="14" t="str">
        <x:v>W14-09</x:v>
      </x:c>
      <x:c r="B106" s="14" t="str">
        <x:v>Worked-design assertion</x:v>
      </x:c>
      <x:c r="C106" s="14" t="str">
        <x:v>W14-09 / activation dependencies</x:v>
      </x:c>
      <x:c r="D106" s="14" t="str">
        <x:v>Production activation rejects missing applicable operating or promised recovery readiness.</x:v>
      </x:c>
      <x:c r="E106" s="14" t="str">
        <x:v>CT-062, CT-069 plus G3/G4 review / NOT RUN</x:v>
      </x:c>
      <x:c r="F106" s="14" t="str">
        <x:v>WD v1.4 §13</x:v>
      </x:c>
      <x:c r="G106" s="22" t="str">
        <x:v>Unresolved</x:v>
      </x:c>
      <x:c r="H106" s="22" t="str"/>
      <x:c r="I106" s="22" t="str"/>
      <x:c r="J106" s="22" t="str"/>
    </x:row>
    <x:row r="107" ht="38" customHeight="1">
      <x:c r="A107" s="14" t="str">
        <x:v>W14-10</x:v>
      </x:c>
      <x:c r="B107" s="14" t="str">
        <x:v>Worked-design assertion</x:v>
      </x:c>
      <x:c r="C107" s="14" t="str">
        <x:v>W14-10 / shared-service failure</x:v>
      </x:c>
      <x:c r="D107" s="14" t="str">
        <x:v>Permitted and denied paths retain the selected policy and declared service behavior during approved failure.</x:v>
      </x:c>
      <x:c r="E107" s="14" t="str">
        <x:v>CT-011, CT-012, CT-024, CT-050 / NOT RUN</x:v>
      </x:c>
      <x:c r="F107" s="14" t="str">
        <x:v>WD v1.4 §13</x:v>
      </x:c>
      <x:c r="G107" s="22" t="str">
        <x:v>Unresolved</x:v>
      </x:c>
      <x:c r="H107" s="22" t="str"/>
      <x:c r="I107" s="22" t="str"/>
      <x:c r="J107" s="22" t="str"/>
    </x:row>
    <x:row r="108" ht="38" customHeight="1">
      <x:c r="A108" s="14" t="str">
        <x:v>W14-11</x:v>
      </x:c>
      <x:c r="B108" s="14" t="str">
        <x:v>Worked-design assertion</x:v>
      </x:c>
      <x:c r="C108" s="14" t="str">
        <x:v>W14-11 / retained recovery</x:v>
      </x:c>
      <x:c r="D108" s="14" t="str">
        <x:v>Required copy, catalogue and key access survive live WSD retirement; unauthorized destruction denies.</x:v>
      </x:c>
      <x:c r="E108" s="14" t="str">
        <x:v>CT-051, CT-052, CT-053, CT-078 / NOT RUN</x:v>
      </x:c>
      <x:c r="F108" s="14" t="str">
        <x:v>WD v1.4 §13</x:v>
      </x:c>
      <x:c r="G108" s="22" t="str">
        <x:v>Unresolved</x:v>
      </x:c>
      <x:c r="H108" s="22" t="str"/>
      <x:c r="I108" s="22" t="str"/>
      <x:c r="J108" s="22" t="str"/>
    </x:row>
    <x:row r="109" ht="38" customHeight="1">
      <x:c r="A109" s="14" t="str">
        <x:v>W14-12</x:v>
      </x:c>
      <x:c r="B109" s="14" t="str">
        <x:v>Worked-design assertion</x:v>
      </x:c>
      <x:c r="C109" s="14" t="str">
        <x:v>W14-12 / second-stack outcome</x:v>
      </x:c>
      <x:c r="D109" s="14" t="str">
        <x:v>Repeat the declared environment and representative data recovery on a second eligible stack.</x:v>
      </x:c>
      <x:c r="E109" s="14" t="str">
        <x:v>CT-016, CT-060, CT-073 / NOT RUN</x:v>
      </x:c>
      <x:c r="F109" s="14" t="str">
        <x:v>WD v1.4 §13</x:v>
      </x:c>
      <x:c r="G109" s="22" t="str">
        <x:v>Unresolved</x:v>
      </x:c>
      <x:c r="H109" s="22" t="str"/>
      <x:c r="I109" s="22" t="str"/>
      <x:c r="J109" s="22" t="str"/>
    </x:row>
  </x:sheetData>
  <x:mergeCells>
    <x:mergeCell ref="A1:J1"/>
    <x:mergeCell ref="A2:J3"/>
  </x:mergeCells>
  <x:conditionalFormatting sqref="G6:G109">
    <x:cfRule type="expression" dxfId="6" priority="1">
      <x:formula>G6="Blocked"</x:formula>
    </x:cfRule>
    <x:cfRule type="expression" dxfId="7" priority="2">
      <x:formula>G6="Failed"</x:formula>
    </x:cfRule>
  </x:conditionalFormatting>
  <x:dataValidations count="1">
    <x:dataValidation type="list" sqref="G6:G109">
      <x:formula1>"Unresolved,Applicable,Not applicable,Partially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c1d3604aca47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43" hidden="0" customWidth="1"/>
    <x:col min="5" max="5" width="48" hidden="0" customWidth="1"/>
    <x:col min="6" max="6" width="56" hidden="0" customWidth="1"/>
    <x:col min="7" max="7" width="45" hidden="0" customWidth="1"/>
    <x:col min="8" max="8" width="37" hidden="0" customWidth="1"/>
    <x:col min="9" max="9" width="47" hidden="0" customWidth="1"/>
  </x:cols>
  <x:sheetData>
    <x:row r="1" ht="30" customHeight="1">
      <x:c r="A1" s="3" t="str">
        <x:v>Actual test execution and evidence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One starter row per reference. Duplicate a row with a new execution ID for another family, topology or assertion. Expected outcomes remain in Test_Applicability; never copy them into observations as a pass.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Execution ID</x:v>
      </x:c>
      <x:c r="B5" s="19" t="str">
        <x:v>Reference ID</x:v>
      </x:c>
      <x:c r="C5" s="19" t="str">
        <x:v>Result</x:v>
      </x:c>
      <x:c r="D5" s="19" t="str">
        <x:v>Actual tuple / topology</x:v>
      </x:c>
      <x:c r="E5" s="19" t="str">
        <x:v>Preconditions / healthy control</x:v>
      </x:c>
      <x:c r="F5" s="19" t="str">
        <x:v>Observed result / UTC</x:v>
      </x:c>
      <x:c r="G5" s="19" t="str">
        <x:v>Evidence reference / digest</x:v>
      </x:c>
      <x:c r="H5" s="19" t="str">
        <x:v>Reviewer / authority</x:v>
      </x:c>
      <x:c r="I5" s="19" t="str">
        <x:v>N/A rationale / defect</x:v>
      </x:c>
    </x:row>
    <x:row r="6" ht="38" customHeight="1">
      <x:c r="A6" s="14" t="str">
        <x:v>EXEC-001</x:v>
      </x:c>
      <x:c r="B6" s="14" t="str">
        <x:v>CT-001</x:v>
      </x:c>
      <x:c r="C6" s="22" t="str">
        <x:v>Not run</x:v>
      </x:c>
      <x:c r="D6" s="22" t="str"/>
      <x:c r="E6" s="22" t="str"/>
      <x:c r="F6" s="22" t="str"/>
      <x:c r="G6" s="22" t="str"/>
      <x:c r="H6" s="22" t="str"/>
      <x:c r="I6" s="22" t="str"/>
    </x:row>
    <x:row r="7" ht="38" customHeight="1">
      <x:c r="A7" s="14" t="str">
        <x:v>EXEC-002</x:v>
      </x:c>
      <x:c r="B7" s="14" t="str">
        <x:v>CT-002</x:v>
      </x:c>
      <x:c r="C7" s="22" t="str">
        <x:v>Not run</x:v>
      </x:c>
      <x:c r="D7" s="22" t="str"/>
      <x:c r="E7" s="22" t="str"/>
      <x:c r="F7" s="22" t="str"/>
      <x:c r="G7" s="22" t="str"/>
      <x:c r="H7" s="22" t="str"/>
      <x:c r="I7" s="22" t="str"/>
    </x:row>
    <x:row r="8" ht="38" customHeight="1">
      <x:c r="A8" s="14" t="str">
        <x:v>EXEC-003</x:v>
      </x:c>
      <x:c r="B8" s="14" t="str">
        <x:v>CT-003</x:v>
      </x:c>
      <x:c r="C8" s="22" t="str">
        <x:v>Not run</x:v>
      </x:c>
      <x:c r="D8" s="22" t="str"/>
      <x:c r="E8" s="22" t="str"/>
      <x:c r="F8" s="22" t="str"/>
      <x:c r="G8" s="22" t="str"/>
      <x:c r="H8" s="22" t="str"/>
      <x:c r="I8" s="22" t="str"/>
    </x:row>
    <x:row r="9" ht="38" customHeight="1">
      <x:c r="A9" s="14" t="str">
        <x:v>EXEC-004</x:v>
      </x:c>
      <x:c r="B9" s="14" t="str">
        <x:v>CT-004</x:v>
      </x:c>
      <x:c r="C9" s="22" t="str">
        <x:v>Not run</x:v>
      </x:c>
      <x:c r="D9" s="22" t="str"/>
      <x:c r="E9" s="22" t="str"/>
      <x:c r="F9" s="22" t="str"/>
      <x:c r="G9" s="22" t="str"/>
      <x:c r="H9" s="22" t="str"/>
      <x:c r="I9" s="22" t="str"/>
    </x:row>
    <x:row r="10" ht="38" customHeight="1">
      <x:c r="A10" s="14" t="str">
        <x:v>EXEC-005</x:v>
      </x:c>
      <x:c r="B10" s="14" t="str">
        <x:v>CT-005</x:v>
      </x:c>
      <x:c r="C10" s="22" t="str">
        <x:v>Not run</x:v>
      </x:c>
      <x:c r="D10" s="22" t="str"/>
      <x:c r="E10" s="22" t="str"/>
      <x:c r="F10" s="22" t="str"/>
      <x:c r="G10" s="22" t="str"/>
      <x:c r="H10" s="22" t="str"/>
      <x:c r="I10" s="22" t="str"/>
    </x:row>
    <x:row r="11" ht="38" customHeight="1">
      <x:c r="A11" s="14" t="str">
        <x:v>EXEC-006</x:v>
      </x:c>
      <x:c r="B11" s="14" t="str">
        <x:v>CT-006</x:v>
      </x:c>
      <x:c r="C11" s="22" t="str">
        <x:v>Not run</x:v>
      </x:c>
      <x:c r="D11" s="22" t="str"/>
      <x:c r="E11" s="22" t="str"/>
      <x:c r="F11" s="22" t="str"/>
      <x:c r="G11" s="22" t="str"/>
      <x:c r="H11" s="22" t="str"/>
      <x:c r="I11" s="22" t="str"/>
    </x:row>
    <x:row r="12" ht="38" customHeight="1">
      <x:c r="A12" s="14" t="str">
        <x:v>EXEC-007</x:v>
      </x:c>
      <x:c r="B12" s="14" t="str">
        <x:v>CT-007</x:v>
      </x:c>
      <x:c r="C12" s="22" t="str">
        <x:v>Not run</x:v>
      </x:c>
      <x:c r="D12" s="22" t="str"/>
      <x:c r="E12" s="22" t="str"/>
      <x:c r="F12" s="22" t="str"/>
      <x:c r="G12" s="22" t="str"/>
      <x:c r="H12" s="22" t="str"/>
      <x:c r="I12" s="22" t="str"/>
    </x:row>
    <x:row r="13" ht="38" customHeight="1">
      <x:c r="A13" s="14" t="str">
        <x:v>EXEC-008</x:v>
      </x:c>
      <x:c r="B13" s="14" t="str">
        <x:v>CT-008</x:v>
      </x:c>
      <x:c r="C13" s="22" t="str">
        <x:v>Not run</x:v>
      </x:c>
      <x:c r="D13" s="22" t="str"/>
      <x:c r="E13" s="22" t="str"/>
      <x:c r="F13" s="22" t="str"/>
      <x:c r="G13" s="22" t="str"/>
      <x:c r="H13" s="22" t="str"/>
      <x:c r="I13" s="22" t="str"/>
    </x:row>
    <x:row r="14" ht="38" customHeight="1">
      <x:c r="A14" s="14" t="str">
        <x:v>EXEC-009</x:v>
      </x:c>
      <x:c r="B14" s="14" t="str">
        <x:v>CT-009</x:v>
      </x:c>
      <x:c r="C14" s="22" t="str">
        <x:v>Not run</x:v>
      </x:c>
      <x:c r="D14" s="22" t="str"/>
      <x:c r="E14" s="22" t="str"/>
      <x:c r="F14" s="22" t="str"/>
      <x:c r="G14" s="22" t="str"/>
      <x:c r="H14" s="22" t="str"/>
      <x:c r="I14" s="22" t="str"/>
    </x:row>
    <x:row r="15" ht="38" customHeight="1">
      <x:c r="A15" s="14" t="str">
        <x:v>EXEC-010</x:v>
      </x:c>
      <x:c r="B15" s="14" t="str">
        <x:v>CT-010</x:v>
      </x:c>
      <x:c r="C15" s="22" t="str">
        <x:v>Not run</x:v>
      </x:c>
      <x:c r="D15" s="22" t="str"/>
      <x:c r="E15" s="22" t="str"/>
      <x:c r="F15" s="22" t="str"/>
      <x:c r="G15" s="22" t="str"/>
      <x:c r="H15" s="22" t="str"/>
      <x:c r="I15" s="22" t="str"/>
    </x:row>
    <x:row r="16" ht="38" customHeight="1">
      <x:c r="A16" s="14" t="str">
        <x:v>EXEC-011</x:v>
      </x:c>
      <x:c r="B16" s="14" t="str">
        <x:v>CT-011</x:v>
      </x:c>
      <x:c r="C16" s="22" t="str">
        <x:v>Not run</x:v>
      </x:c>
      <x:c r="D16" s="22" t="str"/>
      <x:c r="E16" s="22" t="str"/>
      <x:c r="F16" s="22" t="str"/>
      <x:c r="G16" s="22" t="str"/>
      <x:c r="H16" s="22" t="str"/>
      <x:c r="I16" s="22" t="str"/>
    </x:row>
    <x:row r="17" ht="38" customHeight="1">
      <x:c r="A17" s="14" t="str">
        <x:v>EXEC-012</x:v>
      </x:c>
      <x:c r="B17" s="14" t="str">
        <x:v>CT-012</x:v>
      </x:c>
      <x:c r="C17" s="22" t="str">
        <x:v>Not run</x:v>
      </x:c>
      <x:c r="D17" s="22" t="str"/>
      <x:c r="E17" s="22" t="str"/>
      <x:c r="F17" s="22" t="str"/>
      <x:c r="G17" s="22" t="str"/>
      <x:c r="H17" s="22" t="str"/>
      <x:c r="I17" s="22" t="str"/>
    </x:row>
    <x:row r="18" ht="38" customHeight="1">
      <x:c r="A18" s="14" t="str">
        <x:v>EXEC-013</x:v>
      </x:c>
      <x:c r="B18" s="14" t="str">
        <x:v>CT-013</x:v>
      </x:c>
      <x:c r="C18" s="22" t="str">
        <x:v>Not run</x:v>
      </x:c>
      <x:c r="D18" s="22" t="str"/>
      <x:c r="E18" s="22" t="str"/>
      <x:c r="F18" s="22" t="str"/>
      <x:c r="G18" s="22" t="str"/>
      <x:c r="H18" s="22" t="str"/>
      <x:c r="I18" s="22" t="str"/>
    </x:row>
    <x:row r="19" ht="38" customHeight="1">
      <x:c r="A19" s="14" t="str">
        <x:v>EXEC-014</x:v>
      </x:c>
      <x:c r="B19" s="14" t="str">
        <x:v>CT-014</x:v>
      </x:c>
      <x:c r="C19" s="22" t="str">
        <x:v>Not run</x:v>
      </x:c>
      <x:c r="D19" s="22" t="str"/>
      <x:c r="E19" s="22" t="str"/>
      <x:c r="F19" s="22" t="str"/>
      <x:c r="G19" s="22" t="str"/>
      <x:c r="H19" s="22" t="str"/>
      <x:c r="I19" s="22" t="str"/>
    </x:row>
    <x:row r="20" ht="38" customHeight="1">
      <x:c r="A20" s="14" t="str">
        <x:v>EXEC-015</x:v>
      </x:c>
      <x:c r="B20" s="14" t="str">
        <x:v>CT-015</x:v>
      </x:c>
      <x:c r="C20" s="22" t="str">
        <x:v>Not run</x:v>
      </x:c>
      <x:c r="D20" s="22" t="str"/>
      <x:c r="E20" s="22" t="str"/>
      <x:c r="F20" s="22" t="str"/>
      <x:c r="G20" s="22" t="str"/>
      <x:c r="H20" s="22" t="str"/>
      <x:c r="I20" s="22" t="str"/>
    </x:row>
    <x:row r="21" ht="38" customHeight="1">
      <x:c r="A21" s="14" t="str">
        <x:v>EXEC-016</x:v>
      </x:c>
      <x:c r="B21" s="14" t="str">
        <x:v>CT-016</x:v>
      </x:c>
      <x:c r="C21" s="22" t="str">
        <x:v>Not run</x:v>
      </x:c>
      <x:c r="D21" s="22" t="str"/>
      <x:c r="E21" s="22" t="str"/>
      <x:c r="F21" s="22" t="str"/>
      <x:c r="G21" s="22" t="str"/>
      <x:c r="H21" s="22" t="str"/>
      <x:c r="I21" s="22" t="str"/>
    </x:row>
    <x:row r="22" ht="38" customHeight="1">
      <x:c r="A22" s="14" t="str">
        <x:v>EXEC-017</x:v>
      </x:c>
      <x:c r="B22" s="14" t="str">
        <x:v>CT-017</x:v>
      </x:c>
      <x:c r="C22" s="22" t="str">
        <x:v>Not run</x:v>
      </x:c>
      <x:c r="D22" s="22" t="str"/>
      <x:c r="E22" s="22" t="str"/>
      <x:c r="F22" s="22" t="str"/>
      <x:c r="G22" s="22" t="str"/>
      <x:c r="H22" s="22" t="str"/>
      <x:c r="I22" s="22" t="str"/>
    </x:row>
    <x:row r="23" ht="38" customHeight="1">
      <x:c r="A23" s="14" t="str">
        <x:v>EXEC-018</x:v>
      </x:c>
      <x:c r="B23" s="14" t="str">
        <x:v>CT-018</x:v>
      </x:c>
      <x:c r="C23" s="22" t="str">
        <x:v>Not run</x:v>
      </x:c>
      <x:c r="D23" s="22" t="str"/>
      <x:c r="E23" s="22" t="str"/>
      <x:c r="F23" s="22" t="str"/>
      <x:c r="G23" s="22" t="str"/>
      <x:c r="H23" s="22" t="str"/>
      <x:c r="I23" s="22" t="str"/>
    </x:row>
    <x:row r="24" ht="38" customHeight="1">
      <x:c r="A24" s="14" t="str">
        <x:v>EXEC-019</x:v>
      </x:c>
      <x:c r="B24" s="14" t="str">
        <x:v>CT-019</x:v>
      </x:c>
      <x:c r="C24" s="22" t="str">
        <x:v>Not run</x:v>
      </x:c>
      <x:c r="D24" s="22" t="str"/>
      <x:c r="E24" s="22" t="str"/>
      <x:c r="F24" s="22" t="str"/>
      <x:c r="G24" s="22" t="str"/>
      <x:c r="H24" s="22" t="str"/>
      <x:c r="I24" s="22" t="str"/>
    </x:row>
    <x:row r="25" ht="38" customHeight="1">
      <x:c r="A25" s="14" t="str">
        <x:v>EXEC-020</x:v>
      </x:c>
      <x:c r="B25" s="14" t="str">
        <x:v>CT-020</x:v>
      </x:c>
      <x:c r="C25" s="22" t="str">
        <x:v>Not run</x:v>
      </x:c>
      <x:c r="D25" s="22" t="str"/>
      <x:c r="E25" s="22" t="str"/>
      <x:c r="F25" s="22" t="str"/>
      <x:c r="G25" s="22" t="str"/>
      <x:c r="H25" s="22" t="str"/>
      <x:c r="I25" s="22" t="str"/>
    </x:row>
    <x:row r="26" ht="38" customHeight="1">
      <x:c r="A26" s="14" t="str">
        <x:v>EXEC-021</x:v>
      </x:c>
      <x:c r="B26" s="14" t="str">
        <x:v>CT-021</x:v>
      </x:c>
      <x:c r="C26" s="22" t="str">
        <x:v>Not run</x:v>
      </x:c>
      <x:c r="D26" s="22" t="str"/>
      <x:c r="E26" s="22" t="str"/>
      <x:c r="F26" s="22" t="str"/>
      <x:c r="G26" s="22" t="str"/>
      <x:c r="H26" s="22" t="str"/>
      <x:c r="I26" s="22" t="str"/>
    </x:row>
    <x:row r="27" ht="38" customHeight="1">
      <x:c r="A27" s="14" t="str">
        <x:v>EXEC-022</x:v>
      </x:c>
      <x:c r="B27" s="14" t="str">
        <x:v>CT-022</x:v>
      </x:c>
      <x:c r="C27" s="22" t="str">
        <x:v>Not run</x:v>
      </x:c>
      <x:c r="D27" s="22" t="str"/>
      <x:c r="E27" s="22" t="str"/>
      <x:c r="F27" s="22" t="str"/>
      <x:c r="G27" s="22" t="str"/>
      <x:c r="H27" s="22" t="str"/>
      <x:c r="I27" s="22" t="str"/>
    </x:row>
    <x:row r="28" ht="38" customHeight="1">
      <x:c r="A28" s="14" t="str">
        <x:v>EXEC-023</x:v>
      </x:c>
      <x:c r="B28" s="14" t="str">
        <x:v>CT-023</x:v>
      </x:c>
      <x:c r="C28" s="22" t="str">
        <x:v>Not run</x:v>
      </x:c>
      <x:c r="D28" s="22" t="str"/>
      <x:c r="E28" s="22" t="str"/>
      <x:c r="F28" s="22" t="str"/>
      <x:c r="G28" s="22" t="str"/>
      <x:c r="H28" s="22" t="str"/>
      <x:c r="I28" s="22" t="str"/>
    </x:row>
    <x:row r="29" ht="38" customHeight="1">
      <x:c r="A29" s="14" t="str">
        <x:v>EXEC-024</x:v>
      </x:c>
      <x:c r="B29" s="14" t="str">
        <x:v>CT-024</x:v>
      </x:c>
      <x:c r="C29" s="22" t="str">
        <x:v>Not run</x:v>
      </x:c>
      <x:c r="D29" s="22" t="str"/>
      <x:c r="E29" s="22" t="str"/>
      <x:c r="F29" s="22" t="str"/>
      <x:c r="G29" s="22" t="str"/>
      <x:c r="H29" s="22" t="str"/>
      <x:c r="I29" s="22" t="str"/>
    </x:row>
    <x:row r="30" ht="38" customHeight="1">
      <x:c r="A30" s="14" t="str">
        <x:v>EXEC-025</x:v>
      </x:c>
      <x:c r="B30" s="14" t="str">
        <x:v>CT-025</x:v>
      </x:c>
      <x:c r="C30" s="22" t="str">
        <x:v>Not run</x:v>
      </x:c>
      <x:c r="D30" s="22" t="str"/>
      <x:c r="E30" s="22" t="str"/>
      <x:c r="F30" s="22" t="str"/>
      <x:c r="G30" s="22" t="str"/>
      <x:c r="H30" s="22" t="str"/>
      <x:c r="I30" s="22" t="str"/>
    </x:row>
    <x:row r="31" ht="38" customHeight="1">
      <x:c r="A31" s="14" t="str">
        <x:v>EXEC-026</x:v>
      </x:c>
      <x:c r="B31" s="14" t="str">
        <x:v>CT-026</x:v>
      </x:c>
      <x:c r="C31" s="22" t="str">
        <x:v>Not run</x:v>
      </x:c>
      <x:c r="D31" s="22" t="str"/>
      <x:c r="E31" s="22" t="str"/>
      <x:c r="F31" s="22" t="str"/>
      <x:c r="G31" s="22" t="str"/>
      <x:c r="H31" s="22" t="str"/>
      <x:c r="I31" s="22" t="str"/>
    </x:row>
    <x:row r="32" ht="38" customHeight="1">
      <x:c r="A32" s="14" t="str">
        <x:v>EXEC-027</x:v>
      </x:c>
      <x:c r="B32" s="14" t="str">
        <x:v>CT-027</x:v>
      </x:c>
      <x:c r="C32" s="22" t="str">
        <x:v>Not run</x:v>
      </x:c>
      <x:c r="D32" s="22" t="str"/>
      <x:c r="E32" s="22" t="str"/>
      <x:c r="F32" s="22" t="str"/>
      <x:c r="G32" s="22" t="str"/>
      <x:c r="H32" s="22" t="str"/>
      <x:c r="I32" s="22" t="str"/>
    </x:row>
    <x:row r="33" ht="38" customHeight="1">
      <x:c r="A33" s="14" t="str">
        <x:v>EXEC-028</x:v>
      </x:c>
      <x:c r="B33" s="14" t="str">
        <x:v>CT-028</x:v>
      </x:c>
      <x:c r="C33" s="22" t="str">
        <x:v>Not run</x:v>
      </x:c>
      <x:c r="D33" s="22" t="str"/>
      <x:c r="E33" s="22" t="str"/>
      <x:c r="F33" s="22" t="str"/>
      <x:c r="G33" s="22" t="str"/>
      <x:c r="H33" s="22" t="str"/>
      <x:c r="I33" s="22" t="str"/>
    </x:row>
    <x:row r="34" ht="38" customHeight="1">
      <x:c r="A34" s="14" t="str">
        <x:v>EXEC-029</x:v>
      </x:c>
      <x:c r="B34" s="14" t="str">
        <x:v>CT-029</x:v>
      </x:c>
      <x:c r="C34" s="22" t="str">
        <x:v>Not run</x:v>
      </x:c>
      <x:c r="D34" s="22" t="str"/>
      <x:c r="E34" s="22" t="str"/>
      <x:c r="F34" s="22" t="str"/>
      <x:c r="G34" s="22" t="str"/>
      <x:c r="H34" s="22" t="str"/>
      <x:c r="I34" s="22" t="str"/>
    </x:row>
    <x:row r="35" ht="38" customHeight="1">
      <x:c r="A35" s="14" t="str">
        <x:v>EXEC-030</x:v>
      </x:c>
      <x:c r="B35" s="14" t="str">
        <x:v>CT-030</x:v>
      </x:c>
      <x:c r="C35" s="22" t="str">
        <x:v>Not run</x:v>
      </x:c>
      <x:c r="D35" s="22" t="str"/>
      <x:c r="E35" s="22" t="str"/>
      <x:c r="F35" s="22" t="str"/>
      <x:c r="G35" s="22" t="str"/>
      <x:c r="H35" s="22" t="str"/>
      <x:c r="I35" s="22" t="str"/>
    </x:row>
    <x:row r="36" ht="38" customHeight="1">
      <x:c r="A36" s="14" t="str">
        <x:v>EXEC-031</x:v>
      </x:c>
      <x:c r="B36" s="14" t="str">
        <x:v>CT-031</x:v>
      </x:c>
      <x:c r="C36" s="22" t="str">
        <x:v>Not run</x:v>
      </x:c>
      <x:c r="D36" s="22" t="str"/>
      <x:c r="E36" s="22" t="str"/>
      <x:c r="F36" s="22" t="str"/>
      <x:c r="G36" s="22" t="str"/>
      <x:c r="H36" s="22" t="str"/>
      <x:c r="I36" s="22" t="str"/>
    </x:row>
    <x:row r="37" ht="38" customHeight="1">
      <x:c r="A37" s="14" t="str">
        <x:v>EXEC-032</x:v>
      </x:c>
      <x:c r="B37" s="14" t="str">
        <x:v>CT-032</x:v>
      </x:c>
      <x:c r="C37" s="22" t="str">
        <x:v>Not run</x:v>
      </x:c>
      <x:c r="D37" s="22" t="str"/>
      <x:c r="E37" s="22" t="str"/>
      <x:c r="F37" s="22" t="str"/>
      <x:c r="G37" s="22" t="str"/>
      <x:c r="H37" s="22" t="str"/>
      <x:c r="I37" s="22" t="str"/>
    </x:row>
    <x:row r="38" ht="38" customHeight="1">
      <x:c r="A38" s="14" t="str">
        <x:v>EXEC-033</x:v>
      </x:c>
      <x:c r="B38" s="14" t="str">
        <x:v>CT-033</x:v>
      </x:c>
      <x:c r="C38" s="22" t="str">
        <x:v>Not run</x:v>
      </x:c>
      <x:c r="D38" s="22" t="str"/>
      <x:c r="E38" s="22" t="str"/>
      <x:c r="F38" s="22" t="str"/>
      <x:c r="G38" s="22" t="str"/>
      <x:c r="H38" s="22" t="str"/>
      <x:c r="I38" s="22" t="str"/>
    </x:row>
    <x:row r="39" ht="38" customHeight="1">
      <x:c r="A39" s="14" t="str">
        <x:v>EXEC-034</x:v>
      </x:c>
      <x:c r="B39" s="14" t="str">
        <x:v>CT-034</x:v>
      </x:c>
      <x:c r="C39" s="22" t="str">
        <x:v>Not run</x:v>
      </x:c>
      <x:c r="D39" s="22" t="str"/>
      <x:c r="E39" s="22" t="str"/>
      <x:c r="F39" s="22" t="str"/>
      <x:c r="G39" s="22" t="str"/>
      <x:c r="H39" s="22" t="str"/>
      <x:c r="I39" s="22" t="str"/>
    </x:row>
    <x:row r="40" ht="38" customHeight="1">
      <x:c r="A40" s="14" t="str">
        <x:v>EXEC-035</x:v>
      </x:c>
      <x:c r="B40" s="14" t="str">
        <x:v>CT-035</x:v>
      </x:c>
      <x:c r="C40" s="22" t="str">
        <x:v>Not run</x:v>
      </x:c>
      <x:c r="D40" s="22" t="str"/>
      <x:c r="E40" s="22" t="str"/>
      <x:c r="F40" s="22" t="str"/>
      <x:c r="G40" s="22" t="str"/>
      <x:c r="H40" s="22" t="str"/>
      <x:c r="I40" s="22" t="str"/>
    </x:row>
    <x:row r="41" ht="38" customHeight="1">
      <x:c r="A41" s="14" t="str">
        <x:v>EXEC-036</x:v>
      </x:c>
      <x:c r="B41" s="14" t="str">
        <x:v>CT-036</x:v>
      </x:c>
      <x:c r="C41" s="22" t="str">
        <x:v>Not run</x:v>
      </x:c>
      <x:c r="D41" s="22" t="str"/>
      <x:c r="E41" s="22" t="str"/>
      <x:c r="F41" s="22" t="str"/>
      <x:c r="G41" s="22" t="str"/>
      <x:c r="H41" s="22" t="str"/>
      <x:c r="I41" s="22" t="str"/>
    </x:row>
    <x:row r="42" ht="38" customHeight="1">
      <x:c r="A42" s="14" t="str">
        <x:v>EXEC-037</x:v>
      </x:c>
      <x:c r="B42" s="14" t="str">
        <x:v>CT-037</x:v>
      </x:c>
      <x:c r="C42" s="22" t="str">
        <x:v>Not run</x:v>
      </x:c>
      <x:c r="D42" s="22" t="str"/>
      <x:c r="E42" s="22" t="str"/>
      <x:c r="F42" s="22" t="str"/>
      <x:c r="G42" s="22" t="str"/>
      <x:c r="H42" s="22" t="str"/>
      <x:c r="I42" s="22" t="str"/>
    </x:row>
    <x:row r="43" ht="38" customHeight="1">
      <x:c r="A43" s="14" t="str">
        <x:v>EXEC-038</x:v>
      </x:c>
      <x:c r="B43" s="14" t="str">
        <x:v>CT-038</x:v>
      </x:c>
      <x:c r="C43" s="22" t="str">
        <x:v>Not run</x:v>
      </x:c>
      <x:c r="D43" s="22" t="str"/>
      <x:c r="E43" s="22" t="str"/>
      <x:c r="F43" s="22" t="str"/>
      <x:c r="G43" s="22" t="str"/>
      <x:c r="H43" s="22" t="str"/>
      <x:c r="I43" s="22" t="str"/>
    </x:row>
    <x:row r="44" ht="38" customHeight="1">
      <x:c r="A44" s="14" t="str">
        <x:v>EXEC-039</x:v>
      </x:c>
      <x:c r="B44" s="14" t="str">
        <x:v>CT-039</x:v>
      </x:c>
      <x:c r="C44" s="22" t="str">
        <x:v>Not run</x:v>
      </x:c>
      <x:c r="D44" s="22" t="str"/>
      <x:c r="E44" s="22" t="str"/>
      <x:c r="F44" s="22" t="str"/>
      <x:c r="G44" s="22" t="str"/>
      <x:c r="H44" s="22" t="str"/>
      <x:c r="I44" s="22" t="str"/>
    </x:row>
    <x:row r="45" ht="38" customHeight="1">
      <x:c r="A45" s="14" t="str">
        <x:v>EXEC-040</x:v>
      </x:c>
      <x:c r="B45" s="14" t="str">
        <x:v>CT-040</x:v>
      </x:c>
      <x:c r="C45" s="22" t="str">
        <x:v>Not run</x:v>
      </x:c>
      <x:c r="D45" s="22" t="str"/>
      <x:c r="E45" s="22" t="str"/>
      <x:c r="F45" s="22" t="str"/>
      <x:c r="G45" s="22" t="str"/>
      <x:c r="H45" s="22" t="str"/>
      <x:c r="I45" s="22" t="str"/>
    </x:row>
    <x:row r="46" ht="38" customHeight="1">
      <x:c r="A46" s="14" t="str">
        <x:v>EXEC-041</x:v>
      </x:c>
      <x:c r="B46" s="14" t="str">
        <x:v>CT-041</x:v>
      </x:c>
      <x:c r="C46" s="22" t="str">
        <x:v>Not run</x:v>
      </x:c>
      <x:c r="D46" s="22" t="str"/>
      <x:c r="E46" s="22" t="str"/>
      <x:c r="F46" s="22" t="str"/>
      <x:c r="G46" s="22" t="str"/>
      <x:c r="H46" s="22" t="str"/>
      <x:c r="I46" s="22" t="str"/>
    </x:row>
    <x:row r="47" ht="38" customHeight="1">
      <x:c r="A47" s="14" t="str">
        <x:v>EXEC-042</x:v>
      </x:c>
      <x:c r="B47" s="14" t="str">
        <x:v>CT-042</x:v>
      </x:c>
      <x:c r="C47" s="22" t="str">
        <x:v>Not run</x:v>
      </x:c>
      <x:c r="D47" s="22" t="str"/>
      <x:c r="E47" s="22" t="str"/>
      <x:c r="F47" s="22" t="str"/>
      <x:c r="G47" s="22" t="str"/>
      <x:c r="H47" s="22" t="str"/>
      <x:c r="I47" s="22" t="str"/>
    </x:row>
    <x:row r="48" ht="38" customHeight="1">
      <x:c r="A48" s="14" t="str">
        <x:v>EXEC-043</x:v>
      </x:c>
      <x:c r="B48" s="14" t="str">
        <x:v>CT-043</x:v>
      </x:c>
      <x:c r="C48" s="22" t="str">
        <x:v>Not run</x:v>
      </x:c>
      <x:c r="D48" s="22" t="str"/>
      <x:c r="E48" s="22" t="str"/>
      <x:c r="F48" s="22" t="str"/>
      <x:c r="G48" s="22" t="str"/>
      <x:c r="H48" s="22" t="str"/>
      <x:c r="I48" s="22" t="str"/>
    </x:row>
    <x:row r="49" ht="38" customHeight="1">
      <x:c r="A49" s="14" t="str">
        <x:v>EXEC-044</x:v>
      </x:c>
      <x:c r="B49" s="14" t="str">
        <x:v>CT-044</x:v>
      </x:c>
      <x:c r="C49" s="22" t="str">
        <x:v>Not run</x:v>
      </x:c>
      <x:c r="D49" s="22" t="str"/>
      <x:c r="E49" s="22" t="str"/>
      <x:c r="F49" s="22" t="str"/>
      <x:c r="G49" s="22" t="str"/>
      <x:c r="H49" s="22" t="str"/>
      <x:c r="I49" s="22" t="str"/>
    </x:row>
    <x:row r="50" ht="38" customHeight="1">
      <x:c r="A50" s="14" t="str">
        <x:v>EXEC-045</x:v>
      </x:c>
      <x:c r="B50" s="14" t="str">
        <x:v>CT-045</x:v>
      </x:c>
      <x:c r="C50" s="22" t="str">
        <x:v>Not run</x:v>
      </x:c>
      <x:c r="D50" s="22" t="str"/>
      <x:c r="E50" s="22" t="str"/>
      <x:c r="F50" s="22" t="str"/>
      <x:c r="G50" s="22" t="str"/>
      <x:c r="H50" s="22" t="str"/>
      <x:c r="I50" s="22" t="str"/>
    </x:row>
    <x:row r="51" ht="38" customHeight="1">
      <x:c r="A51" s="14" t="str">
        <x:v>EXEC-046</x:v>
      </x:c>
      <x:c r="B51" s="14" t="str">
        <x:v>CT-046</x:v>
      </x:c>
      <x:c r="C51" s="22" t="str">
        <x:v>Not run</x:v>
      </x:c>
      <x:c r="D51" s="22" t="str"/>
      <x:c r="E51" s="22" t="str"/>
      <x:c r="F51" s="22" t="str"/>
      <x:c r="G51" s="22" t="str"/>
      <x:c r="H51" s="22" t="str"/>
      <x:c r="I51" s="22" t="str"/>
    </x:row>
    <x:row r="52" ht="38" customHeight="1">
      <x:c r="A52" s="14" t="str">
        <x:v>EXEC-047</x:v>
      </x:c>
      <x:c r="B52" s="14" t="str">
        <x:v>CT-047</x:v>
      </x:c>
      <x:c r="C52" s="22" t="str">
        <x:v>Not run</x:v>
      </x:c>
      <x:c r="D52" s="22" t="str"/>
      <x:c r="E52" s="22" t="str"/>
      <x:c r="F52" s="22" t="str"/>
      <x:c r="G52" s="22" t="str"/>
      <x:c r="H52" s="22" t="str"/>
      <x:c r="I52" s="22" t="str"/>
    </x:row>
    <x:row r="53" ht="38" customHeight="1">
      <x:c r="A53" s="14" t="str">
        <x:v>EXEC-048</x:v>
      </x:c>
      <x:c r="B53" s="14" t="str">
        <x:v>CT-048</x:v>
      </x:c>
      <x:c r="C53" s="22" t="str">
        <x:v>Not run</x:v>
      </x:c>
      <x:c r="D53" s="22" t="str"/>
      <x:c r="E53" s="22" t="str"/>
      <x:c r="F53" s="22" t="str"/>
      <x:c r="G53" s="22" t="str"/>
      <x:c r="H53" s="22" t="str"/>
      <x:c r="I53" s="22" t="str"/>
    </x:row>
    <x:row r="54" ht="38" customHeight="1">
      <x:c r="A54" s="14" t="str">
        <x:v>EXEC-049</x:v>
      </x:c>
      <x:c r="B54" s="14" t="str">
        <x:v>CT-049</x:v>
      </x:c>
      <x:c r="C54" s="22" t="str">
        <x:v>Not run</x:v>
      </x:c>
      <x:c r="D54" s="22" t="str"/>
      <x:c r="E54" s="22" t="str"/>
      <x:c r="F54" s="22" t="str"/>
      <x:c r="G54" s="22" t="str"/>
      <x:c r="H54" s="22" t="str"/>
      <x:c r="I54" s="22" t="str"/>
    </x:row>
    <x:row r="55" ht="38" customHeight="1">
      <x:c r="A55" s="14" t="str">
        <x:v>EXEC-050</x:v>
      </x:c>
      <x:c r="B55" s="14" t="str">
        <x:v>CT-050</x:v>
      </x:c>
      <x:c r="C55" s="22" t="str">
        <x:v>Not run</x:v>
      </x:c>
      <x:c r="D55" s="22" t="str"/>
      <x:c r="E55" s="22" t="str"/>
      <x:c r="F55" s="22" t="str"/>
      <x:c r="G55" s="22" t="str"/>
      <x:c r="H55" s="22" t="str"/>
      <x:c r="I55" s="22" t="str"/>
    </x:row>
    <x:row r="56" ht="38" customHeight="1">
      <x:c r="A56" s="14" t="str">
        <x:v>EXEC-051</x:v>
      </x:c>
      <x:c r="B56" s="14" t="str">
        <x:v>CT-051</x:v>
      </x:c>
      <x:c r="C56" s="22" t="str">
        <x:v>Not run</x:v>
      </x:c>
      <x:c r="D56" s="22" t="str"/>
      <x:c r="E56" s="22" t="str"/>
      <x:c r="F56" s="22" t="str"/>
      <x:c r="G56" s="22" t="str"/>
      <x:c r="H56" s="22" t="str"/>
      <x:c r="I56" s="22" t="str"/>
    </x:row>
    <x:row r="57" ht="38" customHeight="1">
      <x:c r="A57" s="14" t="str">
        <x:v>EXEC-052</x:v>
      </x:c>
      <x:c r="B57" s="14" t="str">
        <x:v>CT-052</x:v>
      </x:c>
      <x:c r="C57" s="22" t="str">
        <x:v>Not run</x:v>
      </x:c>
      <x:c r="D57" s="22" t="str"/>
      <x:c r="E57" s="22" t="str"/>
      <x:c r="F57" s="22" t="str"/>
      <x:c r="G57" s="22" t="str"/>
      <x:c r="H57" s="22" t="str"/>
      <x:c r="I57" s="22" t="str"/>
    </x:row>
    <x:row r="58" ht="38" customHeight="1">
      <x:c r="A58" s="14" t="str">
        <x:v>EXEC-053</x:v>
      </x:c>
      <x:c r="B58" s="14" t="str">
        <x:v>CT-053</x:v>
      </x:c>
      <x:c r="C58" s="22" t="str">
        <x:v>Not run</x:v>
      </x:c>
      <x:c r="D58" s="22" t="str"/>
      <x:c r="E58" s="22" t="str"/>
      <x:c r="F58" s="22" t="str"/>
      <x:c r="G58" s="22" t="str"/>
      <x:c r="H58" s="22" t="str"/>
      <x:c r="I58" s="22" t="str"/>
    </x:row>
    <x:row r="59" ht="38" customHeight="1">
      <x:c r="A59" s="14" t="str">
        <x:v>EXEC-054</x:v>
      </x:c>
      <x:c r="B59" s="14" t="str">
        <x:v>CT-054</x:v>
      </x:c>
      <x:c r="C59" s="22" t="str">
        <x:v>Not run</x:v>
      </x:c>
      <x:c r="D59" s="22" t="str"/>
      <x:c r="E59" s="22" t="str"/>
      <x:c r="F59" s="22" t="str"/>
      <x:c r="G59" s="22" t="str"/>
      <x:c r="H59" s="22" t="str"/>
      <x:c r="I59" s="22" t="str"/>
    </x:row>
    <x:row r="60" ht="38" customHeight="1">
      <x:c r="A60" s="14" t="str">
        <x:v>EXEC-055</x:v>
      </x:c>
      <x:c r="B60" s="14" t="str">
        <x:v>CT-055</x:v>
      </x:c>
      <x:c r="C60" s="22" t="str">
        <x:v>Not run</x:v>
      </x:c>
      <x:c r="D60" s="22" t="str"/>
      <x:c r="E60" s="22" t="str"/>
      <x:c r="F60" s="22" t="str"/>
      <x:c r="G60" s="22" t="str"/>
      <x:c r="H60" s="22" t="str"/>
      <x:c r="I60" s="22" t="str"/>
    </x:row>
    <x:row r="61" ht="38" customHeight="1">
      <x:c r="A61" s="14" t="str">
        <x:v>EXEC-056</x:v>
      </x:c>
      <x:c r="B61" s="14" t="str">
        <x:v>CT-056</x:v>
      </x:c>
      <x:c r="C61" s="22" t="str">
        <x:v>Not run</x:v>
      </x:c>
      <x:c r="D61" s="22" t="str"/>
      <x:c r="E61" s="22" t="str"/>
      <x:c r="F61" s="22" t="str"/>
      <x:c r="G61" s="22" t="str"/>
      <x:c r="H61" s="22" t="str"/>
      <x:c r="I61" s="22" t="str"/>
    </x:row>
    <x:row r="62" ht="38" customHeight="1">
      <x:c r="A62" s="14" t="str">
        <x:v>EXEC-057</x:v>
      </x:c>
      <x:c r="B62" s="14" t="str">
        <x:v>CT-057</x:v>
      </x:c>
      <x:c r="C62" s="22" t="str">
        <x:v>Not run</x:v>
      </x:c>
      <x:c r="D62" s="22" t="str"/>
      <x:c r="E62" s="22" t="str"/>
      <x:c r="F62" s="22" t="str"/>
      <x:c r="G62" s="22" t="str"/>
      <x:c r="H62" s="22" t="str"/>
      <x:c r="I62" s="22" t="str"/>
    </x:row>
    <x:row r="63" ht="38" customHeight="1">
      <x:c r="A63" s="14" t="str">
        <x:v>EXEC-058</x:v>
      </x:c>
      <x:c r="B63" s="14" t="str">
        <x:v>CT-058</x:v>
      </x:c>
      <x:c r="C63" s="22" t="str">
        <x:v>Not run</x:v>
      </x:c>
      <x:c r="D63" s="22" t="str"/>
      <x:c r="E63" s="22" t="str"/>
      <x:c r="F63" s="22" t="str"/>
      <x:c r="G63" s="22" t="str"/>
      <x:c r="H63" s="22" t="str"/>
      <x:c r="I63" s="22" t="str"/>
    </x:row>
    <x:row r="64" ht="38" customHeight="1">
      <x:c r="A64" s="14" t="str">
        <x:v>EXEC-059</x:v>
      </x:c>
      <x:c r="B64" s="14" t="str">
        <x:v>CT-059</x:v>
      </x:c>
      <x:c r="C64" s="22" t="str">
        <x:v>Not run</x:v>
      </x:c>
      <x:c r="D64" s="22" t="str"/>
      <x:c r="E64" s="22" t="str"/>
      <x:c r="F64" s="22" t="str"/>
      <x:c r="G64" s="22" t="str"/>
      <x:c r="H64" s="22" t="str"/>
      <x:c r="I64" s="22" t="str"/>
    </x:row>
    <x:row r="65" ht="38" customHeight="1">
      <x:c r="A65" s="14" t="str">
        <x:v>EXEC-060</x:v>
      </x:c>
      <x:c r="B65" s="14" t="str">
        <x:v>CT-060</x:v>
      </x:c>
      <x:c r="C65" s="22" t="str">
        <x:v>Not run</x:v>
      </x:c>
      <x:c r="D65" s="22" t="str"/>
      <x:c r="E65" s="22" t="str"/>
      <x:c r="F65" s="22" t="str"/>
      <x:c r="G65" s="22" t="str"/>
      <x:c r="H65" s="22" t="str"/>
      <x:c r="I65" s="22" t="str"/>
    </x:row>
    <x:row r="66" ht="38" customHeight="1">
      <x:c r="A66" s="14" t="str">
        <x:v>EXEC-061</x:v>
      </x:c>
      <x:c r="B66" s="14" t="str">
        <x:v>CT-061</x:v>
      </x:c>
      <x:c r="C66" s="22" t="str">
        <x:v>Not run</x:v>
      </x:c>
      <x:c r="D66" s="22" t="str"/>
      <x:c r="E66" s="22" t="str"/>
      <x:c r="F66" s="22" t="str"/>
      <x:c r="G66" s="22" t="str"/>
      <x:c r="H66" s="22" t="str"/>
      <x:c r="I66" s="22" t="str"/>
    </x:row>
    <x:row r="67" ht="38" customHeight="1">
      <x:c r="A67" s="14" t="str">
        <x:v>EXEC-062</x:v>
      </x:c>
      <x:c r="B67" s="14" t="str">
        <x:v>CT-062</x:v>
      </x:c>
      <x:c r="C67" s="22" t="str">
        <x:v>Not run</x:v>
      </x:c>
      <x:c r="D67" s="22" t="str"/>
      <x:c r="E67" s="22" t="str"/>
      <x:c r="F67" s="22" t="str"/>
      <x:c r="G67" s="22" t="str"/>
      <x:c r="H67" s="22" t="str"/>
      <x:c r="I67" s="22" t="str"/>
    </x:row>
    <x:row r="68" ht="38" customHeight="1">
      <x:c r="A68" s="14" t="str">
        <x:v>EXEC-063</x:v>
      </x:c>
      <x:c r="B68" s="14" t="str">
        <x:v>CT-063</x:v>
      </x:c>
      <x:c r="C68" s="22" t="str">
        <x:v>Not run</x:v>
      </x:c>
      <x:c r="D68" s="22" t="str"/>
      <x:c r="E68" s="22" t="str"/>
      <x:c r="F68" s="22" t="str"/>
      <x:c r="G68" s="22" t="str"/>
      <x:c r="H68" s="22" t="str"/>
      <x:c r="I68" s="22" t="str"/>
    </x:row>
    <x:row r="69" ht="38" customHeight="1">
      <x:c r="A69" s="14" t="str">
        <x:v>EXEC-064</x:v>
      </x:c>
      <x:c r="B69" s="14" t="str">
        <x:v>CT-064</x:v>
      </x:c>
      <x:c r="C69" s="22" t="str">
        <x:v>Not run</x:v>
      </x:c>
      <x:c r="D69" s="22" t="str"/>
      <x:c r="E69" s="22" t="str"/>
      <x:c r="F69" s="22" t="str"/>
      <x:c r="G69" s="22" t="str"/>
      <x:c r="H69" s="22" t="str"/>
      <x:c r="I69" s="22" t="str"/>
    </x:row>
    <x:row r="70" ht="38" customHeight="1">
      <x:c r="A70" s="14" t="str">
        <x:v>EXEC-065</x:v>
      </x:c>
      <x:c r="B70" s="14" t="str">
        <x:v>CT-065</x:v>
      </x:c>
      <x:c r="C70" s="22" t="str">
        <x:v>Not run</x:v>
      </x:c>
      <x:c r="D70" s="22" t="str"/>
      <x:c r="E70" s="22" t="str"/>
      <x:c r="F70" s="22" t="str"/>
      <x:c r="G70" s="22" t="str"/>
      <x:c r="H70" s="22" t="str"/>
      <x:c r="I70" s="22" t="str"/>
    </x:row>
    <x:row r="71" ht="38" customHeight="1">
      <x:c r="A71" s="14" t="str">
        <x:v>EXEC-066</x:v>
      </x:c>
      <x:c r="B71" s="14" t="str">
        <x:v>CT-066</x:v>
      </x:c>
      <x:c r="C71" s="22" t="str">
        <x:v>Not run</x:v>
      </x:c>
      <x:c r="D71" s="22" t="str"/>
      <x:c r="E71" s="22" t="str"/>
      <x:c r="F71" s="22" t="str"/>
      <x:c r="G71" s="22" t="str"/>
      <x:c r="H71" s="22" t="str"/>
      <x:c r="I71" s="22" t="str"/>
    </x:row>
    <x:row r="72" ht="38" customHeight="1">
      <x:c r="A72" s="14" t="str">
        <x:v>EXEC-067</x:v>
      </x:c>
      <x:c r="B72" s="14" t="str">
        <x:v>CT-067</x:v>
      </x:c>
      <x:c r="C72" s="22" t="str">
        <x:v>Not run</x:v>
      </x:c>
      <x:c r="D72" s="22" t="str"/>
      <x:c r="E72" s="22" t="str"/>
      <x:c r="F72" s="22" t="str"/>
      <x:c r="G72" s="22" t="str"/>
      <x:c r="H72" s="22" t="str"/>
      <x:c r="I72" s="22" t="str"/>
    </x:row>
    <x:row r="73" ht="38" customHeight="1">
      <x:c r="A73" s="14" t="str">
        <x:v>EXEC-068</x:v>
      </x:c>
      <x:c r="B73" s="14" t="str">
        <x:v>CT-068</x:v>
      </x:c>
      <x:c r="C73" s="22" t="str">
        <x:v>Not run</x:v>
      </x:c>
      <x:c r="D73" s="22" t="str"/>
      <x:c r="E73" s="22" t="str"/>
      <x:c r="F73" s="22" t="str"/>
      <x:c r="G73" s="22" t="str"/>
      <x:c r="H73" s="22" t="str"/>
      <x:c r="I73" s="22" t="str"/>
    </x:row>
    <x:row r="74" ht="38" customHeight="1">
      <x:c r="A74" s="14" t="str">
        <x:v>EXEC-069</x:v>
      </x:c>
      <x:c r="B74" s="14" t="str">
        <x:v>CT-069</x:v>
      </x:c>
      <x:c r="C74" s="22" t="str">
        <x:v>Not run</x:v>
      </x:c>
      <x:c r="D74" s="22" t="str"/>
      <x:c r="E74" s="22" t="str"/>
      <x:c r="F74" s="22" t="str"/>
      <x:c r="G74" s="22" t="str"/>
      <x:c r="H74" s="22" t="str"/>
      <x:c r="I74" s="22" t="str"/>
    </x:row>
    <x:row r="75" ht="38" customHeight="1">
      <x:c r="A75" s="14" t="str">
        <x:v>EXEC-070</x:v>
      </x:c>
      <x:c r="B75" s="14" t="str">
        <x:v>CT-070</x:v>
      </x:c>
      <x:c r="C75" s="22" t="str">
        <x:v>Not run</x:v>
      </x:c>
      <x:c r="D75" s="22" t="str"/>
      <x:c r="E75" s="22" t="str"/>
      <x:c r="F75" s="22" t="str"/>
      <x:c r="G75" s="22" t="str"/>
      <x:c r="H75" s="22" t="str"/>
      <x:c r="I75" s="22" t="str"/>
    </x:row>
    <x:row r="76" ht="38" customHeight="1">
      <x:c r="A76" s="14" t="str">
        <x:v>EXEC-071</x:v>
      </x:c>
      <x:c r="B76" s="14" t="str">
        <x:v>CT-071</x:v>
      </x:c>
      <x:c r="C76" s="22" t="str">
        <x:v>Not run</x:v>
      </x:c>
      <x:c r="D76" s="22" t="str"/>
      <x:c r="E76" s="22" t="str"/>
      <x:c r="F76" s="22" t="str"/>
      <x:c r="G76" s="22" t="str"/>
      <x:c r="H76" s="22" t="str"/>
      <x:c r="I76" s="22" t="str"/>
    </x:row>
    <x:row r="77" ht="38" customHeight="1">
      <x:c r="A77" s="14" t="str">
        <x:v>EXEC-072</x:v>
      </x:c>
      <x:c r="B77" s="14" t="str">
        <x:v>CT-072</x:v>
      </x:c>
      <x:c r="C77" s="22" t="str">
        <x:v>Not run</x:v>
      </x:c>
      <x:c r="D77" s="22" t="str"/>
      <x:c r="E77" s="22" t="str"/>
      <x:c r="F77" s="22" t="str"/>
      <x:c r="G77" s="22" t="str"/>
      <x:c r="H77" s="22" t="str"/>
      <x:c r="I77" s="22" t="str"/>
    </x:row>
    <x:row r="78" ht="38" customHeight="1">
      <x:c r="A78" s="14" t="str">
        <x:v>EXEC-073</x:v>
      </x:c>
      <x:c r="B78" s="14" t="str">
        <x:v>CT-073</x:v>
      </x:c>
      <x:c r="C78" s="22" t="str">
        <x:v>Not run</x:v>
      </x:c>
      <x:c r="D78" s="22" t="str"/>
      <x:c r="E78" s="22" t="str"/>
      <x:c r="F78" s="22" t="str"/>
      <x:c r="G78" s="22" t="str"/>
      <x:c r="H78" s="22" t="str"/>
      <x:c r="I78" s="22" t="str"/>
    </x:row>
    <x:row r="79" ht="38" customHeight="1">
      <x:c r="A79" s="14" t="str">
        <x:v>EXEC-074</x:v>
      </x:c>
      <x:c r="B79" s="14" t="str">
        <x:v>CT-074</x:v>
      </x:c>
      <x:c r="C79" s="22" t="str">
        <x:v>Not run</x:v>
      </x:c>
      <x:c r="D79" s="22" t="str"/>
      <x:c r="E79" s="22" t="str"/>
      <x:c r="F79" s="22" t="str"/>
      <x:c r="G79" s="22" t="str"/>
      <x:c r="H79" s="22" t="str"/>
      <x:c r="I79" s="22" t="str"/>
    </x:row>
    <x:row r="80" ht="38" customHeight="1">
      <x:c r="A80" s="14" t="str">
        <x:v>EXEC-075</x:v>
      </x:c>
      <x:c r="B80" s="14" t="str">
        <x:v>CT-075</x:v>
      </x:c>
      <x:c r="C80" s="22" t="str">
        <x:v>Not run</x:v>
      </x:c>
      <x:c r="D80" s="22" t="str"/>
      <x:c r="E80" s="22" t="str"/>
      <x:c r="F80" s="22" t="str"/>
      <x:c r="G80" s="22" t="str"/>
      <x:c r="H80" s="22" t="str"/>
      <x:c r="I80" s="22" t="str"/>
    </x:row>
    <x:row r="81" ht="38" customHeight="1">
      <x:c r="A81" s="14" t="str">
        <x:v>EXEC-076</x:v>
      </x:c>
      <x:c r="B81" s="14" t="str">
        <x:v>CT-076</x:v>
      </x:c>
      <x:c r="C81" s="22" t="str">
        <x:v>Not run</x:v>
      </x:c>
      <x:c r="D81" s="22" t="str"/>
      <x:c r="E81" s="22" t="str"/>
      <x:c r="F81" s="22" t="str"/>
      <x:c r="G81" s="22" t="str"/>
      <x:c r="H81" s="22" t="str"/>
      <x:c r="I81" s="22" t="str"/>
    </x:row>
    <x:row r="82" ht="38" customHeight="1">
      <x:c r="A82" s="14" t="str">
        <x:v>EXEC-077</x:v>
      </x:c>
      <x:c r="B82" s="14" t="str">
        <x:v>CT-077</x:v>
      </x:c>
      <x:c r="C82" s="22" t="str">
        <x:v>Not run</x:v>
      </x:c>
      <x:c r="D82" s="22" t="str"/>
      <x:c r="E82" s="22" t="str"/>
      <x:c r="F82" s="22" t="str"/>
      <x:c r="G82" s="22" t="str"/>
      <x:c r="H82" s="22" t="str"/>
      <x:c r="I82" s="22" t="str"/>
    </x:row>
    <x:row r="83" ht="38" customHeight="1">
      <x:c r="A83" s="14" t="str">
        <x:v>EXEC-078</x:v>
      </x:c>
      <x:c r="B83" s="14" t="str">
        <x:v>CT-078</x:v>
      </x:c>
      <x:c r="C83" s="22" t="str">
        <x:v>Not run</x:v>
      </x:c>
      <x:c r="D83" s="22" t="str"/>
      <x:c r="E83" s="22" t="str"/>
      <x:c r="F83" s="22" t="str"/>
      <x:c r="G83" s="22" t="str"/>
      <x:c r="H83" s="22" t="str"/>
      <x:c r="I83" s="22" t="str"/>
    </x:row>
    <x:row r="84" ht="38" customHeight="1">
      <x:c r="A84" s="14" t="str">
        <x:v>EXEC-079</x:v>
      </x:c>
      <x:c r="B84" s="14" t="str">
        <x:v>CT-079</x:v>
      </x:c>
      <x:c r="C84" s="22" t="str">
        <x:v>Not run</x:v>
      </x:c>
      <x:c r="D84" s="22" t="str"/>
      <x:c r="E84" s="22" t="str"/>
      <x:c r="F84" s="22" t="str"/>
      <x:c r="G84" s="22" t="str"/>
      <x:c r="H84" s="22" t="str"/>
      <x:c r="I84" s="22" t="str"/>
    </x:row>
    <x:row r="85" ht="38" customHeight="1">
      <x:c r="A85" s="14" t="str">
        <x:v>EXEC-080</x:v>
      </x:c>
      <x:c r="B85" s="14" t="str">
        <x:v>CT-080</x:v>
      </x:c>
      <x:c r="C85" s="22" t="str">
        <x:v>Not run</x:v>
      </x:c>
      <x:c r="D85" s="22" t="str"/>
      <x:c r="E85" s="22" t="str"/>
      <x:c r="F85" s="22" t="str"/>
      <x:c r="G85" s="22" t="str"/>
      <x:c r="H85" s="22" t="str"/>
      <x:c r="I85" s="22" t="str"/>
    </x:row>
    <x:row r="86" ht="38" customHeight="1">
      <x:c r="A86" s="14" t="str">
        <x:v>EXEC-081</x:v>
      </x:c>
      <x:c r="B86" s="14" t="str">
        <x:v>RA-01</x:v>
      </x:c>
      <x:c r="C86" s="22" t="str">
        <x:v>Not run</x:v>
      </x:c>
      <x:c r="D86" s="22" t="str"/>
      <x:c r="E86" s="22" t="str"/>
      <x:c r="F86" s="22" t="str"/>
      <x:c r="G86" s="22" t="str"/>
      <x:c r="H86" s="22" t="str"/>
      <x:c r="I86" s="22" t="str"/>
    </x:row>
    <x:row r="87" ht="38" customHeight="1">
      <x:c r="A87" s="14" t="str">
        <x:v>EXEC-082</x:v>
      </x:c>
      <x:c r="B87" s="14" t="str">
        <x:v>RA-02</x:v>
      </x:c>
      <x:c r="C87" s="22" t="str">
        <x:v>Not run</x:v>
      </x:c>
      <x:c r="D87" s="22" t="str"/>
      <x:c r="E87" s="22" t="str"/>
      <x:c r="F87" s="22" t="str"/>
      <x:c r="G87" s="22" t="str"/>
      <x:c r="H87" s="22" t="str"/>
      <x:c r="I87" s="22" t="str"/>
    </x:row>
    <x:row r="88" ht="38" customHeight="1">
      <x:c r="A88" s="14" t="str">
        <x:v>EXEC-083</x:v>
      </x:c>
      <x:c r="B88" s="14" t="str">
        <x:v>RA-03</x:v>
      </x:c>
      <x:c r="C88" s="22" t="str">
        <x:v>Not run</x:v>
      </x:c>
      <x:c r="D88" s="22" t="str"/>
      <x:c r="E88" s="22" t="str"/>
      <x:c r="F88" s="22" t="str"/>
      <x:c r="G88" s="22" t="str"/>
      <x:c r="H88" s="22" t="str"/>
      <x:c r="I88" s="22" t="str"/>
    </x:row>
    <x:row r="89" ht="38" customHeight="1">
      <x:c r="A89" s="14" t="str">
        <x:v>EXEC-084</x:v>
      </x:c>
      <x:c r="B89" s="14" t="str">
        <x:v>RA-04</x:v>
      </x:c>
      <x:c r="C89" s="22" t="str">
        <x:v>Not run</x:v>
      </x:c>
      <x:c r="D89" s="22" t="str"/>
      <x:c r="E89" s="22" t="str"/>
      <x:c r="F89" s="22" t="str"/>
      <x:c r="G89" s="22" t="str"/>
      <x:c r="H89" s="22" t="str"/>
      <x:c r="I89" s="22" t="str"/>
    </x:row>
    <x:row r="90" ht="38" customHeight="1">
      <x:c r="A90" s="14" t="str">
        <x:v>EXEC-085</x:v>
      </x:c>
      <x:c r="B90" s="14" t="str">
        <x:v>RA-05</x:v>
      </x:c>
      <x:c r="C90" s="22" t="str">
        <x:v>Not run</x:v>
      </x:c>
      <x:c r="D90" s="22" t="str"/>
      <x:c r="E90" s="22" t="str"/>
      <x:c r="F90" s="22" t="str"/>
      <x:c r="G90" s="22" t="str"/>
      <x:c r="H90" s="22" t="str"/>
      <x:c r="I90" s="22" t="str"/>
    </x:row>
    <x:row r="91" ht="38" customHeight="1">
      <x:c r="A91" s="14" t="str">
        <x:v>EXEC-086</x:v>
      </x:c>
      <x:c r="B91" s="14" t="str">
        <x:v>RA-06</x:v>
      </x:c>
      <x:c r="C91" s="22" t="str">
        <x:v>Not run</x:v>
      </x:c>
      <x:c r="D91" s="22" t="str"/>
      <x:c r="E91" s="22" t="str"/>
      <x:c r="F91" s="22" t="str"/>
      <x:c r="G91" s="22" t="str"/>
      <x:c r="H91" s="22" t="str"/>
      <x:c r="I91" s="22" t="str"/>
    </x:row>
    <x:row r="92" ht="38" customHeight="1">
      <x:c r="A92" s="14" t="str">
        <x:v>EXEC-087</x:v>
      </x:c>
      <x:c r="B92" s="14" t="str">
        <x:v>RA-07</x:v>
      </x:c>
      <x:c r="C92" s="22" t="str">
        <x:v>Not run</x:v>
      </x:c>
      <x:c r="D92" s="22" t="str"/>
      <x:c r="E92" s="22" t="str"/>
      <x:c r="F92" s="22" t="str"/>
      <x:c r="G92" s="22" t="str"/>
      <x:c r="H92" s="22" t="str"/>
      <x:c r="I92" s="22" t="str"/>
    </x:row>
    <x:row r="93" ht="38" customHeight="1">
      <x:c r="A93" s="14" t="str">
        <x:v>EXEC-088</x:v>
      </x:c>
      <x:c r="B93" s="14" t="str">
        <x:v>RA-08</x:v>
      </x:c>
      <x:c r="C93" s="22" t="str">
        <x:v>Not run</x:v>
      </x:c>
      <x:c r="D93" s="22" t="str"/>
      <x:c r="E93" s="22" t="str"/>
      <x:c r="F93" s="22" t="str"/>
      <x:c r="G93" s="22" t="str"/>
      <x:c r="H93" s="22" t="str"/>
      <x:c r="I93" s="22" t="str"/>
    </x:row>
    <x:row r="94" ht="38" customHeight="1">
      <x:c r="A94" s="14" t="str">
        <x:v>EXEC-089</x:v>
      </x:c>
      <x:c r="B94" s="14" t="str">
        <x:v>RA-09</x:v>
      </x:c>
      <x:c r="C94" s="22" t="str">
        <x:v>Not run</x:v>
      </x:c>
      <x:c r="D94" s="22" t="str"/>
      <x:c r="E94" s="22" t="str"/>
      <x:c r="F94" s="22" t="str"/>
      <x:c r="G94" s="22" t="str"/>
      <x:c r="H94" s="22" t="str"/>
      <x:c r="I94" s="22" t="str"/>
    </x:row>
    <x:row r="95" ht="38" customHeight="1">
      <x:c r="A95" s="14" t="str">
        <x:v>EXEC-090</x:v>
      </x:c>
      <x:c r="B95" s="14" t="str">
        <x:v>RA-10</x:v>
      </x:c>
      <x:c r="C95" s="22" t="str">
        <x:v>Not run</x:v>
      </x:c>
      <x:c r="D95" s="22" t="str"/>
      <x:c r="E95" s="22" t="str"/>
      <x:c r="F95" s="22" t="str"/>
      <x:c r="G95" s="22" t="str"/>
      <x:c r="H95" s="22" t="str"/>
      <x:c r="I95" s="22" t="str"/>
    </x:row>
    <x:row r="96" ht="38" customHeight="1">
      <x:c r="A96" s="14" t="str">
        <x:v>EXEC-091</x:v>
      </x:c>
      <x:c r="B96" s="14" t="str">
        <x:v>RA-11</x:v>
      </x:c>
      <x:c r="C96" s="22" t="str">
        <x:v>Not run</x:v>
      </x:c>
      <x:c r="D96" s="22" t="str"/>
      <x:c r="E96" s="22" t="str"/>
      <x:c r="F96" s="22" t="str"/>
      <x:c r="G96" s="22" t="str"/>
      <x:c r="H96" s="22" t="str"/>
      <x:c r="I96" s="22" t="str"/>
    </x:row>
    <x:row r="97" ht="38" customHeight="1">
      <x:c r="A97" s="14" t="str">
        <x:v>EXEC-092</x:v>
      </x:c>
      <x:c r="B97" s="14" t="str">
        <x:v>RA-12</x:v>
      </x:c>
      <x:c r="C97" s="22" t="str">
        <x:v>Not run</x:v>
      </x:c>
      <x:c r="D97" s="22" t="str"/>
      <x:c r="E97" s="22" t="str"/>
      <x:c r="F97" s="22" t="str"/>
      <x:c r="G97" s="22" t="str"/>
      <x:c r="H97" s="22" t="str"/>
      <x:c r="I97" s="22" t="str"/>
    </x:row>
    <x:row r="98" ht="38" customHeight="1">
      <x:c r="A98" s="14" t="str">
        <x:v>EXEC-093</x:v>
      </x:c>
      <x:c r="B98" s="14" t="str">
        <x:v>W14-01</x:v>
      </x:c>
      <x:c r="C98" s="22" t="str">
        <x:v>Not run</x:v>
      </x:c>
      <x:c r="D98" s="22" t="str"/>
      <x:c r="E98" s="22" t="str"/>
      <x:c r="F98" s="22" t="str"/>
      <x:c r="G98" s="22" t="str"/>
      <x:c r="H98" s="22" t="str"/>
      <x:c r="I98" s="22" t="str"/>
    </x:row>
    <x:row r="99" ht="38" customHeight="1">
      <x:c r="A99" s="14" t="str">
        <x:v>EXEC-094</x:v>
      </x:c>
      <x:c r="B99" s="14" t="str">
        <x:v>W14-02</x:v>
      </x:c>
      <x:c r="C99" s="22" t="str">
        <x:v>Not run</x:v>
      </x:c>
      <x:c r="D99" s="22" t="str"/>
      <x:c r="E99" s="22" t="str"/>
      <x:c r="F99" s="22" t="str"/>
      <x:c r="G99" s="22" t="str"/>
      <x:c r="H99" s="22" t="str"/>
      <x:c r="I99" s="22" t="str"/>
    </x:row>
    <x:row r="100" ht="38" customHeight="1">
      <x:c r="A100" s="14" t="str">
        <x:v>EXEC-095</x:v>
      </x:c>
      <x:c r="B100" s="14" t="str">
        <x:v>W14-03</x:v>
      </x:c>
      <x:c r="C100" s="22" t="str">
        <x:v>Not run</x:v>
      </x:c>
      <x:c r="D100" s="22" t="str"/>
      <x:c r="E100" s="22" t="str"/>
      <x:c r="F100" s="22" t="str"/>
      <x:c r="G100" s="22" t="str"/>
      <x:c r="H100" s="22" t="str"/>
      <x:c r="I100" s="22" t="str"/>
    </x:row>
    <x:row r="101" ht="38" customHeight="1">
      <x:c r="A101" s="14" t="str">
        <x:v>EXEC-096</x:v>
      </x:c>
      <x:c r="B101" s="14" t="str">
        <x:v>W14-04</x:v>
      </x:c>
      <x:c r="C101" s="22" t="str">
        <x:v>Not run</x:v>
      </x:c>
      <x:c r="D101" s="22" t="str"/>
      <x:c r="E101" s="22" t="str"/>
      <x:c r="F101" s="22" t="str"/>
      <x:c r="G101" s="22" t="str"/>
      <x:c r="H101" s="22" t="str"/>
      <x:c r="I101" s="22" t="str"/>
    </x:row>
    <x:row r="102" ht="38" customHeight="1">
      <x:c r="A102" s="14" t="str">
        <x:v>EXEC-097</x:v>
      </x:c>
      <x:c r="B102" s="14" t="str">
        <x:v>W14-05</x:v>
      </x:c>
      <x:c r="C102" s="22" t="str">
        <x:v>Not run</x:v>
      </x:c>
      <x:c r="D102" s="22" t="str"/>
      <x:c r="E102" s="22" t="str"/>
      <x:c r="F102" s="22" t="str"/>
      <x:c r="G102" s="22" t="str"/>
      <x:c r="H102" s="22" t="str"/>
      <x:c r="I102" s="22" t="str"/>
    </x:row>
    <x:row r="103" ht="38" customHeight="1">
      <x:c r="A103" s="14" t="str">
        <x:v>EXEC-098</x:v>
      </x:c>
      <x:c r="B103" s="14" t="str">
        <x:v>W14-06</x:v>
      </x:c>
      <x:c r="C103" s="22" t="str">
        <x:v>Not run</x:v>
      </x:c>
      <x:c r="D103" s="22" t="str"/>
      <x:c r="E103" s="22" t="str"/>
      <x:c r="F103" s="22" t="str"/>
      <x:c r="G103" s="22" t="str"/>
      <x:c r="H103" s="22" t="str"/>
      <x:c r="I103" s="22" t="str"/>
    </x:row>
    <x:row r="104" ht="38" customHeight="1">
      <x:c r="A104" s="14" t="str">
        <x:v>EXEC-099</x:v>
      </x:c>
      <x:c r="B104" s="14" t="str">
        <x:v>W14-07</x:v>
      </x:c>
      <x:c r="C104" s="22" t="str">
        <x:v>Not run</x:v>
      </x:c>
      <x:c r="D104" s="22" t="str"/>
      <x:c r="E104" s="22" t="str"/>
      <x:c r="F104" s="22" t="str"/>
      <x:c r="G104" s="22" t="str"/>
      <x:c r="H104" s="22" t="str"/>
      <x:c r="I104" s="22" t="str"/>
    </x:row>
    <x:row r="105" ht="38" customHeight="1">
      <x:c r="A105" s="14" t="str">
        <x:v>EXEC-100</x:v>
      </x:c>
      <x:c r="B105" s="14" t="str">
        <x:v>W14-08</x:v>
      </x:c>
      <x:c r="C105" s="22" t="str">
        <x:v>Not run</x:v>
      </x:c>
      <x:c r="D105" s="22" t="str"/>
      <x:c r="E105" s="22" t="str"/>
      <x:c r="F105" s="22" t="str"/>
      <x:c r="G105" s="22" t="str"/>
      <x:c r="H105" s="22" t="str"/>
      <x:c r="I105" s="22" t="str"/>
    </x:row>
    <x:row r="106" ht="38" customHeight="1">
      <x:c r="A106" s="14" t="str">
        <x:v>EXEC-101</x:v>
      </x:c>
      <x:c r="B106" s="14" t="str">
        <x:v>W14-09</x:v>
      </x:c>
      <x:c r="C106" s="22" t="str">
        <x:v>Not run</x:v>
      </x:c>
      <x:c r="D106" s="22" t="str"/>
      <x:c r="E106" s="22" t="str"/>
      <x:c r="F106" s="22" t="str"/>
      <x:c r="G106" s="22" t="str"/>
      <x:c r="H106" s="22" t="str"/>
      <x:c r="I106" s="22" t="str"/>
    </x:row>
    <x:row r="107" ht="38" customHeight="1">
      <x:c r="A107" s="14" t="str">
        <x:v>EXEC-102</x:v>
      </x:c>
      <x:c r="B107" s="14" t="str">
        <x:v>W14-10</x:v>
      </x:c>
      <x:c r="C107" s="22" t="str">
        <x:v>Not run</x:v>
      </x:c>
      <x:c r="D107" s="22" t="str"/>
      <x:c r="E107" s="22" t="str"/>
      <x:c r="F107" s="22" t="str"/>
      <x:c r="G107" s="22" t="str"/>
      <x:c r="H107" s="22" t="str"/>
      <x:c r="I107" s="22" t="str"/>
    </x:row>
    <x:row r="108" ht="38" customHeight="1">
      <x:c r="A108" s="14" t="str">
        <x:v>EXEC-103</x:v>
      </x:c>
      <x:c r="B108" s="14" t="str">
        <x:v>W14-11</x:v>
      </x:c>
      <x:c r="C108" s="22" t="str">
        <x:v>Not run</x:v>
      </x:c>
      <x:c r="D108" s="22" t="str"/>
      <x:c r="E108" s="22" t="str"/>
      <x:c r="F108" s="22" t="str"/>
      <x:c r="G108" s="22" t="str"/>
      <x:c r="H108" s="22" t="str"/>
      <x:c r="I108" s="22" t="str"/>
    </x:row>
    <x:row r="109" ht="38" customHeight="1">
      <x:c r="A109" s="14" t="str">
        <x:v>EXEC-104</x:v>
      </x:c>
      <x:c r="B109" s="14" t="str">
        <x:v>W14-12</x:v>
      </x:c>
      <x:c r="C109" s="22" t="str">
        <x:v>Not run</x:v>
      </x:c>
      <x:c r="D109" s="22" t="str"/>
      <x:c r="E109" s="22" t="str"/>
      <x:c r="F109" s="22" t="str"/>
      <x:c r="G109" s="22" t="str"/>
      <x:c r="H109" s="22" t="str"/>
      <x:c r="I109" s="22" t="str"/>
    </x:row>
  </x:sheetData>
  <x:mergeCells>
    <x:mergeCell ref="A1:I1"/>
    <x:mergeCell ref="A2:I3"/>
  </x:mergeCells>
  <x:conditionalFormatting sqref="C6:C109">
    <x:cfRule type="expression" dxfId="8" priority="1">
      <x:formula>C6="Blocked"</x:formula>
    </x:cfRule>
    <x:cfRule type="expression" dxfId="9" priority="2">
      <x:formula>C6="Failed"</x:formula>
    </x:cfRule>
  </x:conditionalFormatting>
  <x:dataValidations count="1">
    <x:dataValidation type="list" sqref="C6:C109">
      <x:formula1>"Not run,Passed,Failed,Blocked,Not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df36657f924b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9" hidden="0" customWidth="1"/>
    <x:col min="3" max="3" width="49" hidden="0" customWidth="1"/>
    <x:col min="4" max="4" width="45" hidden="0" customWidth="1"/>
    <x:col min="5" max="5" width="42" hidden="0" customWidth="1"/>
    <x:col min="6" max="6" width="38" hidden="0" customWidth="1"/>
    <x:col min="7" max="7" width="49" hidden="0" customWidth="1"/>
    <x:col min="8" max="8" width="44" hidden="0" customWidth="1"/>
  </x:cols>
  <x:sheetData>
    <x:row r="1" ht="30" customHeight="1">
      <x:c r="A1" s="3" t="str">
        <x:v>Actual evidence inventory and protection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Blank template rows contain no supplied evidence or fake digest. Store protected artifacts outside this workbook and record authoritative references.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Evidence ID</x:v>
      </x:c>
      <x:c r="B5" s="19" t="str">
        <x:v>Execution / change / requirement</x:v>
      </x:c>
      <x:c r="C5" s="19" t="str">
        <x:v>Actual artifact reference</x:v>
      </x:c>
      <x:c r="D5" s="19" t="str">
        <x:v>Digest / integrity method</x:v>
      </x:c>
      <x:c r="E5" s="19" t="str">
        <x:v>Target / scope / revision</x:v>
      </x:c>
      <x:c r="F5" s="19" t="str">
        <x:v>Observed UTC / collector</x:v>
      </x:c>
      <x:c r="G5" s="19" t="str">
        <x:v>Classification / access / retention</x:v>
      </x:c>
      <x:c r="H5" s="19" t="str">
        <x:v>Reviewer / freshness disposition</x:v>
      </x:c>
    </x:row>
    <x:row r="6" ht="38" customHeight="1">
      <x:c r="A6" s="14" t="str">
        <x:v>EVD-001</x:v>
      </x:c>
      <x:c r="B6" s="22" t="str"/>
      <x:c r="C6" s="22" t="str"/>
      <x:c r="D6" s="22" t="str"/>
      <x:c r="E6" s="22" t="str"/>
      <x:c r="F6" s="22" t="str"/>
      <x:c r="G6" s="22" t="str"/>
      <x:c r="H6" s="22" t="str"/>
    </x:row>
    <x:row r="7" ht="38" customHeight="1">
      <x:c r="A7" s="14" t="str">
        <x:v>EVD-002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38" customHeight="1">
      <x:c r="A8" s="14" t="str">
        <x:v>EVD-003</x:v>
      </x:c>
      <x:c r="B8" s="22" t="str"/>
      <x:c r="C8" s="22" t="str"/>
      <x:c r="D8" s="22" t="str"/>
      <x:c r="E8" s="22" t="str"/>
      <x:c r="F8" s="22" t="str"/>
      <x:c r="G8" s="22" t="str"/>
      <x:c r="H8" s="22" t="str"/>
    </x:row>
    <x:row r="9" ht="38" customHeight="1">
      <x:c r="A9" s="14" t="str">
        <x:v>EVD-004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 ht="38" customHeight="1">
      <x:c r="A10" s="14" t="str">
        <x:v>EVD-005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 ht="38" customHeight="1">
      <x:c r="A11" s="14" t="str">
        <x:v>EVD-006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 ht="38" customHeight="1">
      <x:c r="A12" s="14" t="str">
        <x:v>EVD-007</x:v>
      </x:c>
      <x:c r="B12" s="22" t="str"/>
      <x:c r="C12" s="22" t="str"/>
      <x:c r="D12" s="22" t="str"/>
      <x:c r="E12" s="22" t="str"/>
      <x:c r="F12" s="22" t="str"/>
      <x:c r="G12" s="22" t="str"/>
      <x:c r="H12" s="22" t="str"/>
    </x:row>
    <x:row r="13" ht="38" customHeight="1">
      <x:c r="A13" s="14" t="str">
        <x:v>EVD-008</x:v>
      </x:c>
      <x:c r="B13" s="22" t="str"/>
      <x:c r="C13" s="22" t="str"/>
      <x:c r="D13" s="22" t="str"/>
      <x:c r="E13" s="22" t="str"/>
      <x:c r="F13" s="22" t="str"/>
      <x:c r="G13" s="22" t="str"/>
      <x:c r="H13" s="22" t="str"/>
    </x:row>
    <x:row r="14" ht="38" customHeight="1">
      <x:c r="A14" s="14" t="str">
        <x:v>EVD-009</x:v>
      </x:c>
      <x:c r="B14" s="22" t="str"/>
      <x:c r="C14" s="22" t="str"/>
      <x:c r="D14" s="22" t="str"/>
      <x:c r="E14" s="22" t="str"/>
      <x:c r="F14" s="22" t="str"/>
      <x:c r="G14" s="22" t="str"/>
      <x:c r="H14" s="22" t="str"/>
    </x:row>
    <x:row r="15" ht="38" customHeight="1">
      <x:c r="A15" s="14" t="str">
        <x:v>EVD-010</x:v>
      </x:c>
      <x:c r="B15" s="22" t="str"/>
      <x:c r="C15" s="22" t="str"/>
      <x:c r="D15" s="22" t="str"/>
      <x:c r="E15" s="22" t="str"/>
      <x:c r="F15" s="22" t="str"/>
      <x:c r="G15" s="22" t="str"/>
      <x:c r="H15" s="22" t="str"/>
    </x:row>
    <x:row r="16" ht="38" customHeight="1">
      <x:c r="A16" s="14" t="str">
        <x:v>EVD-011</x:v>
      </x:c>
      <x:c r="B16" s="22" t="str"/>
      <x:c r="C16" s="22" t="str"/>
      <x:c r="D16" s="22" t="str"/>
      <x:c r="E16" s="22" t="str"/>
      <x:c r="F16" s="22" t="str"/>
      <x:c r="G16" s="22" t="str"/>
      <x:c r="H16" s="22" t="str"/>
    </x:row>
    <x:row r="17" ht="38" customHeight="1">
      <x:c r="A17" s="14" t="str">
        <x:v>EVD-012</x:v>
      </x:c>
      <x:c r="B17" s="22" t="str"/>
      <x:c r="C17" s="22" t="str"/>
      <x:c r="D17" s="22" t="str"/>
      <x:c r="E17" s="22" t="str"/>
      <x:c r="F17" s="22" t="str"/>
      <x:c r="G17" s="22" t="str"/>
      <x:c r="H17" s="22" t="str"/>
    </x:row>
    <x:row r="18" ht="38" customHeight="1">
      <x:c r="A18" s="14" t="str">
        <x:v>EVD-013</x:v>
      </x:c>
      <x:c r="B18" s="22" t="str"/>
      <x:c r="C18" s="22" t="str"/>
      <x:c r="D18" s="22" t="str"/>
      <x:c r="E18" s="22" t="str"/>
      <x:c r="F18" s="22" t="str"/>
      <x:c r="G18" s="22" t="str"/>
      <x:c r="H18" s="22" t="str"/>
    </x:row>
    <x:row r="19" ht="38" customHeight="1">
      <x:c r="A19" s="14" t="str">
        <x:v>EVD-014</x:v>
      </x:c>
      <x:c r="B19" s="22" t="str"/>
      <x:c r="C19" s="22" t="str"/>
      <x:c r="D19" s="22" t="str"/>
      <x:c r="E19" s="22" t="str"/>
      <x:c r="F19" s="22" t="str"/>
      <x:c r="G19" s="22" t="str"/>
      <x:c r="H19" s="22" t="str"/>
    </x:row>
    <x:row r="20" ht="38" customHeight="1">
      <x:c r="A20" s="14" t="str">
        <x:v>EVD-015</x:v>
      </x:c>
      <x:c r="B20" s="22" t="str"/>
      <x:c r="C20" s="22" t="str"/>
      <x:c r="D20" s="22" t="str"/>
      <x:c r="E20" s="22" t="str"/>
      <x:c r="F20" s="22" t="str"/>
      <x:c r="G20" s="22" t="str"/>
      <x:c r="H20" s="22" t="str"/>
    </x:row>
    <x:row r="21" ht="38" customHeight="1">
      <x:c r="A21" s="14" t="str">
        <x:v>EVD-016</x:v>
      </x:c>
      <x:c r="B21" s="22" t="str"/>
      <x:c r="C21" s="22" t="str"/>
      <x:c r="D21" s="22" t="str"/>
      <x:c r="E21" s="22" t="str"/>
      <x:c r="F21" s="22" t="str"/>
      <x:c r="G21" s="22" t="str"/>
      <x:c r="H21" s="22" t="str"/>
    </x:row>
    <x:row r="22" ht="38" customHeight="1">
      <x:c r="A22" s="14" t="str">
        <x:v>EVD-017</x:v>
      </x:c>
      <x:c r="B22" s="22" t="str"/>
      <x:c r="C22" s="22" t="str"/>
      <x:c r="D22" s="22" t="str"/>
      <x:c r="E22" s="22" t="str"/>
      <x:c r="F22" s="22" t="str"/>
      <x:c r="G22" s="22" t="str"/>
      <x:c r="H22" s="22" t="str"/>
    </x:row>
    <x:row r="23" ht="38" customHeight="1">
      <x:c r="A23" s="14" t="str">
        <x:v>EVD-018</x:v>
      </x:c>
      <x:c r="B23" s="22" t="str"/>
      <x:c r="C23" s="22" t="str"/>
      <x:c r="D23" s="22" t="str"/>
      <x:c r="E23" s="22" t="str"/>
      <x:c r="F23" s="22" t="str"/>
      <x:c r="G23" s="22" t="str"/>
      <x:c r="H23" s="22" t="str"/>
    </x:row>
    <x:row r="24" ht="38" customHeight="1">
      <x:c r="A24" s="14" t="str">
        <x:v>EVD-019</x:v>
      </x:c>
      <x:c r="B24" s="22" t="str"/>
      <x:c r="C24" s="22" t="str"/>
      <x:c r="D24" s="22" t="str"/>
      <x:c r="E24" s="22" t="str"/>
      <x:c r="F24" s="22" t="str"/>
      <x:c r="G24" s="22" t="str"/>
      <x:c r="H24" s="22" t="str"/>
    </x:row>
    <x:row r="25" ht="38" customHeight="1">
      <x:c r="A25" s="14" t="str">
        <x:v>EVD-020</x:v>
      </x:c>
      <x:c r="B25" s="22" t="str"/>
      <x:c r="C25" s="22" t="str"/>
      <x:c r="D25" s="22" t="str"/>
      <x:c r="E25" s="22" t="str"/>
      <x:c r="F25" s="22" t="str"/>
      <x:c r="G25" s="22" t="str"/>
      <x:c r="H25" s="22" t="str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e4ce14b97284ff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1" hidden="0" customWidth="1"/>
    <x:col min="3" max="3" width="44" hidden="0" customWidth="1"/>
    <x:col min="4" max="4" width="43" hidden="0" customWidth="1"/>
    <x:col min="5" max="5" width="26" hidden="0" customWidth="1"/>
    <x:col min="6" max="6" width="22" hidden="0" customWidth="1"/>
    <x:col min="7" max="7" width="43" hidden="0" customWidth="1"/>
    <x:col min="8" max="8" width="36" hidden="0" customWidth="1"/>
    <x:col min="9" max="9" width="43" hidden="0" customWidth="1"/>
  </x:cols>
  <x:sheetData>
    <x:row r="1" ht="30" customHeight="1">
      <x:c r="A1" s="3" t="str">
        <x:v>Observed defects and deviations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Unpopulated actual finding register. Reference threat prompts in the architecture kit are not live vulnerabilities.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Defect ID</x:v>
      </x:c>
      <x:c r="B5" s="19" t="str">
        <x:v>Observed fact / scope</x:v>
      </x:c>
      <x:c r="C5" s="19" t="str">
        <x:v>Expected design / requirement</x:v>
      </x:c>
      <x:c r="D5" s="19" t="str">
        <x:v>Impact / priority rationale</x:v>
      </x:c>
      <x:c r="E5" s="19" t="str">
        <x:v>Actual owner</x:v>
      </x:c>
      <x:c r="F5" s="19" t="str">
        <x:v>Status</x:v>
      </x:c>
      <x:c r="G5" s="19" t="str">
        <x:v>Recovery / correction</x:v>
      </x:c>
      <x:c r="H5" s="19" t="str">
        <x:v>Retest evidence</x:v>
      </x:c>
      <x:c r="I5" s="19" t="str">
        <x:v>Disposition authority / deadline</x:v>
      </x:c>
    </x:row>
    <x:row r="6" ht="38" customHeight="1">
      <x:c r="A6" s="14" t="str">
        <x:v>DEF-001</x:v>
      </x:c>
      <x:c r="B6" s="22" t="str"/>
      <x:c r="C6" s="22" t="str"/>
      <x:c r="D6" s="22" t="str"/>
      <x:c r="E6" s="22" t="str"/>
      <x:c r="F6" s="22" t="str">
        <x:v>Not raised</x:v>
      </x:c>
      <x:c r="G6" s="22" t="str"/>
      <x:c r="H6" s="22" t="str"/>
      <x:c r="I6" s="22" t="str"/>
    </x:row>
    <x:row r="7" ht="38" customHeight="1">
      <x:c r="A7" s="14" t="str">
        <x:v>DEF-002</x:v>
      </x:c>
      <x:c r="B7" s="22" t="str"/>
      <x:c r="C7" s="22" t="str"/>
      <x:c r="D7" s="22" t="str"/>
      <x:c r="E7" s="22" t="str"/>
      <x:c r="F7" s="22" t="str">
        <x:v>Not raised</x:v>
      </x:c>
      <x:c r="G7" s="22" t="str"/>
      <x:c r="H7" s="22" t="str"/>
      <x:c r="I7" s="22" t="str"/>
    </x:row>
    <x:row r="8" ht="38" customHeight="1">
      <x:c r="A8" s="14" t="str">
        <x:v>DEF-003</x:v>
      </x:c>
      <x:c r="B8" s="22" t="str"/>
      <x:c r="C8" s="22" t="str"/>
      <x:c r="D8" s="22" t="str"/>
      <x:c r="E8" s="22" t="str"/>
      <x:c r="F8" s="22" t="str">
        <x:v>Not raised</x:v>
      </x:c>
      <x:c r="G8" s="22" t="str"/>
      <x:c r="H8" s="22" t="str"/>
      <x:c r="I8" s="22" t="str"/>
    </x:row>
    <x:row r="9" ht="38" customHeight="1">
      <x:c r="A9" s="14" t="str">
        <x:v>DEF-004</x:v>
      </x:c>
      <x:c r="B9" s="22" t="str"/>
      <x:c r="C9" s="22" t="str"/>
      <x:c r="D9" s="22" t="str"/>
      <x:c r="E9" s="22" t="str"/>
      <x:c r="F9" s="22" t="str">
        <x:v>Not raised</x:v>
      </x:c>
      <x:c r="G9" s="22" t="str"/>
      <x:c r="H9" s="22" t="str"/>
      <x:c r="I9" s="22" t="str"/>
    </x:row>
    <x:row r="10" ht="38" customHeight="1">
      <x:c r="A10" s="14" t="str">
        <x:v>DEF-005</x:v>
      </x:c>
      <x:c r="B10" s="22" t="str"/>
      <x:c r="C10" s="22" t="str"/>
      <x:c r="D10" s="22" t="str"/>
      <x:c r="E10" s="22" t="str"/>
      <x:c r="F10" s="22" t="str">
        <x:v>Not raised</x:v>
      </x:c>
      <x:c r="G10" s="22" t="str"/>
      <x:c r="H10" s="22" t="str"/>
      <x:c r="I10" s="22" t="str"/>
    </x:row>
    <x:row r="11" ht="38" customHeight="1">
      <x:c r="A11" s="14" t="str">
        <x:v>DEF-006</x:v>
      </x:c>
      <x:c r="B11" s="22" t="str"/>
      <x:c r="C11" s="22" t="str"/>
      <x:c r="D11" s="22" t="str"/>
      <x:c r="E11" s="22" t="str"/>
      <x:c r="F11" s="22" t="str">
        <x:v>Not raised</x:v>
      </x:c>
      <x:c r="G11" s="22" t="str"/>
      <x:c r="H11" s="22" t="str"/>
      <x:c r="I11" s="22" t="str"/>
    </x:row>
    <x:row r="12" ht="38" customHeight="1">
      <x:c r="A12" s="14" t="str">
        <x:v>DEF-007</x:v>
      </x:c>
      <x:c r="B12" s="22" t="str"/>
      <x:c r="C12" s="22" t="str"/>
      <x:c r="D12" s="22" t="str"/>
      <x:c r="E12" s="22" t="str"/>
      <x:c r="F12" s="22" t="str">
        <x:v>Not raised</x:v>
      </x:c>
      <x:c r="G12" s="22" t="str"/>
      <x:c r="H12" s="22" t="str"/>
      <x:c r="I12" s="22" t="str"/>
    </x:row>
    <x:row r="13" ht="38" customHeight="1">
      <x:c r="A13" s="14" t="str">
        <x:v>DEF-008</x:v>
      </x:c>
      <x:c r="B13" s="22" t="str"/>
      <x:c r="C13" s="22" t="str"/>
      <x:c r="D13" s="22" t="str"/>
      <x:c r="E13" s="22" t="str"/>
      <x:c r="F13" s="22" t="str">
        <x:v>Not raised</x:v>
      </x:c>
      <x:c r="G13" s="22" t="str"/>
      <x:c r="H13" s="22" t="str"/>
      <x:c r="I13" s="22" t="str"/>
    </x:row>
    <x:row r="14" ht="38" customHeight="1">
      <x:c r="A14" s="14" t="str">
        <x:v>DEF-009</x:v>
      </x:c>
      <x:c r="B14" s="22" t="str"/>
      <x:c r="C14" s="22" t="str"/>
      <x:c r="D14" s="22" t="str"/>
      <x:c r="E14" s="22" t="str"/>
      <x:c r="F14" s="22" t="str">
        <x:v>Not raised</x:v>
      </x:c>
      <x:c r="G14" s="22" t="str"/>
      <x:c r="H14" s="22" t="str"/>
      <x:c r="I14" s="22" t="str"/>
    </x:row>
    <x:row r="15" ht="38" customHeight="1">
      <x:c r="A15" s="14" t="str">
        <x:v>DEF-010</x:v>
      </x:c>
      <x:c r="B15" s="22" t="str"/>
      <x:c r="C15" s="22" t="str"/>
      <x:c r="D15" s="22" t="str"/>
      <x:c r="E15" s="22" t="str"/>
      <x:c r="F15" s="22" t="str">
        <x:v>Not raised</x:v>
      </x:c>
      <x:c r="G15" s="22" t="str"/>
      <x:c r="H15" s="22" t="str"/>
      <x:c r="I15" s="22" t="str"/>
    </x:row>
    <x:row r="16" ht="38" customHeight="1">
      <x:c r="A16" s="14" t="str">
        <x:v>DEF-011</x:v>
      </x:c>
      <x:c r="B16" s="22" t="str"/>
      <x:c r="C16" s="22" t="str"/>
      <x:c r="D16" s="22" t="str"/>
      <x:c r="E16" s="22" t="str"/>
      <x:c r="F16" s="22" t="str">
        <x:v>Not raised</x:v>
      </x:c>
      <x:c r="G16" s="22" t="str"/>
      <x:c r="H16" s="22" t="str"/>
      <x:c r="I16" s="22" t="str"/>
    </x:row>
    <x:row r="17" ht="38" customHeight="1">
      <x:c r="A17" s="14" t="str">
        <x:v>DEF-012</x:v>
      </x:c>
      <x:c r="B17" s="22" t="str"/>
      <x:c r="C17" s="22" t="str"/>
      <x:c r="D17" s="22" t="str"/>
      <x:c r="E17" s="22" t="str"/>
      <x:c r="F17" s="22" t="str">
        <x:v>Not raised</x:v>
      </x:c>
      <x:c r="G17" s="22" t="str"/>
      <x:c r="H17" s="22" t="str"/>
      <x:c r="I17" s="22" t="str"/>
    </x:row>
  </x:sheetData>
  <x:mergeCells>
    <x:mergeCell ref="A1:I1"/>
    <x:mergeCell ref="A2:I3"/>
  </x:mergeCells>
  <x:conditionalFormatting sqref="F6:F17">
    <x:cfRule type="expression" dxfId="10" priority="1">
      <x:formula>F6="Blocked"</x:formula>
    </x:cfRule>
    <x:cfRule type="expression" dxfId="11" priority="2">
      <x:formula>F6="Failed"</x:formula>
    </x:cfRule>
  </x:conditionalFormatting>
  <x:dataValidations count="1">
    <x:dataValidation type="list" sqref="F6:F17">
      <x:formula1>"Not raised,Open,In remediation,Ready for retest,Resolved,Risk 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c80577b4f47a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2" hidden="0" customWidth="1"/>
    <x:col min="3" max="3" width="39" hidden="0" customWidth="1"/>
    <x:col min="4" max="4" width="53" hidden="0" customWidth="1"/>
    <x:col min="5" max="5" width="58" hidden="0" customWidth="1"/>
    <x:col min="6" max="6" width="23" hidden="0" customWidth="1"/>
    <x:col min="7" max="7" width="39" hidden="0" customWidth="1"/>
    <x:col min="8" max="8" width="47" hidden="0" customWidth="1"/>
    <x:col min="9" max="9" width="44" hidden="0" customWidth="1"/>
  </x:cols>
  <x:sheetData>
    <x:row r="1" ht="30" customHeight="1">
      <x:c r="A1" s="3" t="str">
        <x:v>Gate and operating authority decisions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NO AUTOMATIC APPROVAL • G4 initial readiness is a production G3 prerequisite; continuing G4 afterwards is not a substitute. Restricted fixture permission is separate.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Gate ID</x:v>
      </x:c>
      <x:c r="B5" s="19" t="str">
        <x:v>Purpose</x:v>
      </x:c>
      <x:c r="C5" s="19" t="str">
        <x:v>Owner role</x:v>
      </x:c>
      <x:c r="D5" s="19" t="str">
        <x:v>Required prior scope</x:v>
      </x:c>
      <x:c r="E5" s="19" t="str">
        <x:v>Evidence / required records</x:v>
      </x:c>
      <x:c r="F5" s="19" t="str">
        <x:v>Actual decision</x:v>
      </x:c>
      <x:c r="G5" s="19" t="str">
        <x:v>Issuer / record</x:v>
      </x:c>
      <x:c r="H5" s="19" t="str">
        <x:v>Validity / conditions</x:v>
      </x:c>
      <x:c r="I5" s="19" t="str">
        <x:v>Actual evidence</x:v>
      </x:c>
    </x:row>
    <x:row r="6" ht="38" customHeight="1">
      <x:c r="A6" s="14" t="str">
        <x:v>G0</x:v>
      </x:c>
      <x:c r="B6" s="14" t="str">
        <x:v>Design adoption</x:v>
      </x:c>
      <x:c r="C6" s="14" t="str">
        <x:v>Architecture authority</x:v>
      </x:c>
      <x:c r="D6" s="14" t="str">
        <x:v>None</x:v>
      </x:c>
      <x:c r="E6" s="14" t="str">
        <x:v>AK-01–AK-08; adopted controls and variation decisions</x:v>
      </x:c>
      <x:c r="F6" s="22" t="str">
        <x:v>Not issued</x:v>
      </x:c>
      <x:c r="G6" s="22" t="str"/>
      <x:c r="H6" s="22" t="str"/>
      <x:c r="I6" s="22" t="str"/>
    </x:row>
    <x:row r="7" ht="38" customHeight="1">
      <x:c r="A7" s="14" t="str">
        <x:v>G1</x:v>
      </x:c>
      <x:c r="B7" s="14" t="str">
        <x:v>Foundation acceptance</x:v>
      </x:c>
      <x:c r="C7" s="14" t="str">
        <x:v>Foundation/service owner</x:v>
      </x:c>
      <x:c r="D7" s="14" t="str">
        <x:v>G0 for affected scope</x:v>
      </x:c>
      <x:c r="E7" s="14" t="str">
        <x:v>EK-01/02; IK-02/03; trusted access and transport evidence</x:v>
      </x:c>
      <x:c r="F7" s="22" t="str">
        <x:v>Not issued</x:v>
      </x:c>
      <x:c r="G7" s="22" t="str"/>
      <x:c r="H7" s="22" t="str"/>
      <x:c r="I7" s="22" t="str"/>
    </x:row>
    <x:row r="8" ht="38" customHeight="1">
      <x:c r="A8" s="14" t="str">
        <x:v>Restricted fixture</x:v>
      </x:c>
      <x:c r="B8" s="14" t="str">
        <x:v>Non-production test permission</x:v>
      </x:c>
      <x:c r="C8" s="14" t="str">
        <x:v>Test/change authority</x:v>
      </x:c>
      <x:c r="D8" s="14" t="str">
        <x:v>G1; installed safeguarded candidate resources</x:v>
      </x:c>
      <x:c r="E8" s="14" t="str">
        <x:v>Test scope, disposable data, restoration plan, exact target and expiry</x:v>
      </x:c>
      <x:c r="F8" s="22" t="str">
        <x:v>Not issued</x:v>
      </x:c>
      <x:c r="G8" s="22" t="str"/>
      <x:c r="H8" s="22" t="str"/>
      <x:c r="I8" s="22" t="str"/>
    </x:row>
    <x:row r="9" ht="38" customHeight="1">
      <x:c r="A9" s="14" t="str">
        <x:v>G2</x:v>
      </x:c>
      <x:c r="B9" s="14" t="str">
        <x:v>Platform and shared-service qualification</x:v>
      </x:c>
      <x:c r="C9" s="14" t="str">
        <x:v>Platform/service qualification authority</x:v>
      </x:c>
      <x:c r="D9" s="14" t="str">
        <x:v>G0/G1; authorized fixture; applicable observed tests</x:v>
      </x:c>
      <x:c r="E9" s="14" t="str">
        <x:v>EK-03–EK-09; IK-04–IK-06; actual supported tuple and measured envelope</x:v>
      </x:c>
      <x:c r="F9" s="22" t="str">
        <x:v>Not issued</x:v>
      </x:c>
      <x:c r="G9" s="22" t="str"/>
      <x:c r="H9" s="22" t="str"/>
      <x:c r="I9" s="22" t="str"/>
    </x:row>
    <x:row r="10" ht="38" customHeight="1">
      <x:c r="A10" s="14" t="str">
        <x:v>G4 initial</x:v>
      </x:c>
      <x:c r="B10" s="14" t="str">
        <x:v>Operational/recovery readiness</x:v>
      </x:c>
      <x:c r="C10" s="14" t="str">
        <x:v>Operations + data/service acceptance</x:v>
      </x:c>
      <x:c r="D10" s="14" t="str">
        <x:v>Relevant qualified platform/service</x:v>
      </x:c>
      <x:c r="E10" s="14" t="str">
        <x:v>IK-07; current owners, incident path, monitoring, keys/catalogue and required restore proof</x:v>
      </x:c>
      <x:c r="F10" s="22" t="str">
        <x:v>Not issued</x:v>
      </x:c>
      <x:c r="G10" s="22" t="str"/>
      <x:c r="H10" s="22" t="str"/>
      <x:c r="I10" s="22" t="str"/>
    </x:row>
    <x:row r="11" ht="38" customHeight="1">
      <x:c r="A11" s="14" t="str">
        <x:v>G3</x:v>
      </x:c>
      <x:c r="B11" s="14" t="str">
        <x:v>Production activation</x:v>
      </x:c>
      <x:c r="C11" s="14" t="str">
        <x:v>Authorized service acceptance owner</x:v>
      </x:c>
      <x:c r="D11" s="14" t="str">
        <x:v>G0, G1, G2, applicable G4 initial; valid authority</x:v>
      </x:c>
      <x:c r="E11" s="14" t="str">
        <x:v>Current tenant build evidence, exposure scope, rollback/containment and acceptance</x:v>
      </x:c>
      <x:c r="F11" s="22" t="str">
        <x:v>Not issued</x:v>
      </x:c>
      <x:c r="G11" s="22" t="str"/>
      <x:c r="H11" s="22" t="str"/>
      <x:c r="I11" s="22" t="str"/>
    </x:row>
    <x:row r="12" ht="38" customHeight="1">
      <x:c r="A12" s="14" t="str">
        <x:v>G4 continuing</x:v>
      </x:c>
      <x:c r="B12" s="14" t="str">
        <x:v>Continuing operations and reacceptance</x:v>
      </x:c>
      <x:c r="C12" s="14" t="str">
        <x:v>Operations/service owner</x:v>
      </x:c>
      <x:c r="D12" s="14" t="str">
        <x:v>Activated service; approved cadence and change triggers</x:v>
      </x:c>
      <x:c r="E12" s="14" t="str">
        <x:v>Maintenance, drift, recovery exercises, incidents, support and retirement records</x:v>
      </x:c>
      <x:c r="F12" s="22" t="str">
        <x:v>Not issued</x:v>
      </x:c>
      <x:c r="G12" s="22" t="str"/>
      <x:c r="H12" s="22" t="str"/>
      <x:c r="I12" s="22" t="str"/>
    </x:row>
  </x:sheetData>
  <x:mergeCells>
    <x:mergeCell ref="A1:I1"/>
    <x:mergeCell ref="A2:I3"/>
  </x:mergeCells>
  <x:conditionalFormatting sqref="F6:F12">
    <x:cfRule type="expression" dxfId="12" priority="1">
      <x:formula>F6="Blocked"</x:formula>
    </x:cfRule>
    <x:cfRule type="expression" dxfId="13" priority="2">
      <x:formula>F6="Failed"</x:formula>
    </x:cfRule>
  </x:conditionalFormatting>
  <x:dataValidations count="1">
    <x:dataValidation type="list" sqref="F6:F12">
      <x:formula1>"Not issued,Approved,Rejected,Conditional,Suspended,Superseded"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8c696faff5477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2" hidden="0" customWidth="1"/>
    <x:col min="4" max="4" width="26" hidden="0" customWidth="1"/>
    <x:col min="5" max="5" width="22" hidden="0" customWidth="1"/>
    <x:col min="6" max="6" width="45" hidden="0" customWidth="1"/>
    <x:col min="7" max="7" width="44" hidden="0" customWidth="1"/>
  </x:cols>
  <x:sheetData>
    <x:row r="1" ht="30" customHeight="1">
      <x:c r="A1" s="3" t="str">
        <x:v>Operational handover and initial readiness</x:v>
      </x:c>
      <x:c r="B1" s="3"/>
      <x:c r="C1" s="3"/>
      <x:c r="D1" s="3"/>
      <x:c r="E1" s="3"/>
      <x:c r="F1" s="3"/>
      <x:c r="G1" s="3"/>
    </x:row>
    <x:row r="2" ht="20" customHeight="1">
      <x:c r="A2" s="8" t="str">
        <x:v>Complete applicable initial readiness before production; post-activation handover confirms an already accepted scope.</x:v>
      </x:c>
      <x:c r="B2" s="8"/>
      <x:c r="C2" s="8"/>
      <x:c r="D2" s="8"/>
      <x:c r="E2" s="8"/>
      <x:c r="F2" s="8"/>
      <x:c r="G2" s="8"/>
    </x:row>
    <x:row r="3" ht="20" customHeight="1">
      <x:c r="A3" s="8"/>
      <x:c r="B3" s="8"/>
      <x:c r="C3" s="8"/>
      <x:c r="D3" s="8"/>
      <x:c r="E3" s="8"/>
      <x:c r="F3" s="8"/>
      <x:c r="G3" s="8"/>
    </x:row>
    <x:row r="5" ht="32" customHeight="1">
      <x:c r="A5" s="19" t="str">
        <x:v>ID</x:v>
      </x:c>
      <x:c r="B5" s="19" t="str">
        <x:v>Readiness area</x:v>
      </x:c>
      <x:c r="C5" s="19" t="str">
        <x:v>Required record</x:v>
      </x:c>
      <x:c r="D5" s="19" t="str">
        <x:v>Actual owner</x:v>
      </x:c>
      <x:c r="E5" s="19" t="str">
        <x:v>Status</x:v>
      </x:c>
      <x:c r="F5" s="19" t="str">
        <x:v>Evidence</x:v>
      </x:c>
      <x:c r="G5" s="19" t="str">
        <x:v>Decision / condition</x:v>
      </x:c>
    </x:row>
    <x:row r="6" ht="38" customHeight="1">
      <x:c r="A6" s="14" t="str">
        <x:v>H01</x:v>
      </x:c>
      <x:c r="B6" s="14" t="str">
        <x:v>Named service/operations/data/security owners</x:v>
      </x:c>
      <x:c r="C6" s="14" t="str">
        <x:v>Actual contacts, escalation and on-call coverage</x:v>
      </x:c>
      <x:c r="D6" s="22" t="str"/>
      <x:c r="E6" s="22" t="str">
        <x:v>Not started</x:v>
      </x:c>
      <x:c r="F6" s="22" t="str"/>
      <x:c r="G6" s="22" t="str"/>
    </x:row>
    <x:row r="7" ht="38" customHeight="1">
      <x:c r="A7" s="14" t="str">
        <x:v>H02</x:v>
      </x:c>
      <x:c r="B7" s="14" t="str">
        <x:v>Accepted as-built and native ownership</x:v>
      </x:c>
      <x:c r="C7" s="14" t="str">
        <x:v>Topology, versions, resource identities and tool/writer responsibilities</x:v>
      </x:c>
      <x:c r="D7" s="22" t="str"/>
      <x:c r="E7" s="22" t="str">
        <x:v>Not started</x:v>
      </x:c>
      <x:c r="F7" s="22" t="str"/>
      <x:c r="G7" s="22" t="str"/>
    </x:row>
    <x:row r="8" ht="38" customHeight="1">
      <x:c r="A8" s="14" t="str">
        <x:v>H03</x:v>
      </x:c>
      <x:c r="B8" s="14" t="str">
        <x:v>Accepted service and failure envelope</x:v>
      </x:c>
      <x:c r="C8" s="14" t="str">
        <x:v>Actual limits, SLO, RTO/RPO, maintenance and capacity basis</x:v>
      </x:c>
      <x:c r="D8" s="22" t="str"/>
      <x:c r="E8" s="22" t="str">
        <x:v>Not started</x:v>
      </x:c>
      <x:c r="F8" s="22" t="str"/>
      <x:c r="G8" s="22" t="str"/>
    </x:row>
    <x:row r="9" ht="38" customHeight="1">
      <x:c r="A9" s="14" t="str">
        <x:v>H04</x:v>
      </x:c>
      <x:c r="B9" s="14" t="str">
        <x:v>Monitoring and evidence protection</x:v>
      </x:c>
      <x:c r="C9" s="14" t="str">
        <x:v>Event/health coverage, loss behaviour, access and retention</x:v>
      </x:c>
      <x:c r="D9" s="22" t="str"/>
      <x:c r="E9" s="22" t="str">
        <x:v>Not started</x:v>
      </x:c>
      <x:c r="F9" s="22" t="str"/>
      <x:c r="G9" s="22" t="str"/>
    </x:row>
    <x:row r="10" ht="38" customHeight="1">
      <x:c r="A10" s="14" t="str">
        <x:v>H05</x:v>
      </x:c>
      <x:c r="B10" s="14" t="str">
        <x:v>Incident and containment authority</x:v>
      </x:c>
      <x:c r="C10" s="14" t="str">
        <x:v>Scoped response, emergency paths and explicit release</x:v>
      </x:c>
      <x:c r="D10" s="22" t="str"/>
      <x:c r="E10" s="22" t="str">
        <x:v>Not started</x:v>
      </x:c>
      <x:c r="F10" s="22" t="str"/>
      <x:c r="G10" s="22" t="str"/>
    </x:row>
    <x:row r="11" ht="38" customHeight="1">
      <x:c r="A11" s="14" t="str">
        <x:v>H06</x:v>
      </x:c>
      <x:c r="B11" s="14" t="str">
        <x:v>Credential, certificate and key custody</x:v>
      </x:c>
      <x:c r="C11" s="14" t="str">
        <x:v>Protected references, role separation, revocation and tested recovery</x:v>
      </x:c>
      <x:c r="D11" s="22" t="str"/>
      <x:c r="E11" s="22" t="str">
        <x:v>Not started</x:v>
      </x:c>
      <x:c r="F11" s="22" t="str"/>
      <x:c r="G11" s="22" t="str"/>
    </x:row>
    <x:row r="12" ht="38" customHeight="1">
      <x:c r="A12" s="14" t="str">
        <x:v>H07</x:v>
      </x:c>
      <x:c r="B12" s="14" t="str">
        <x:v>Backup/catalogue and initial restore proof</x:v>
      </x:c>
      <x:c r="C12" s="14" t="str">
        <x:v>Accepted consistency, retained copies, key access and measured recovery</x:v>
      </x:c>
      <x:c r="D12" s="22" t="str"/>
      <x:c r="E12" s="22" t="str">
        <x:v>Not started</x:v>
      </x:c>
      <x:c r="F12" s="22" t="str"/>
      <x:c r="G12" s="22" t="str"/>
    </x:row>
    <x:row r="13" ht="38" customHeight="1">
      <x:c r="A13" s="14" t="str">
        <x:v>H08</x:v>
      </x:c>
      <x:c r="B13" s="14" t="str">
        <x:v>Support and lifecycle readiness</x:v>
      </x:c>
      <x:c r="C13" s="14" t="str">
        <x:v>Compatible patch/change method, support expiry and supplier access</x:v>
      </x:c>
      <x:c r="D13" s="22" t="str"/>
      <x:c r="E13" s="22" t="str">
        <x:v>Not started</x:v>
      </x:c>
      <x:c r="F13" s="22" t="str"/>
      <x:c r="G13" s="22" t="str"/>
    </x:row>
    <x:row r="14" ht="38" customHeight="1">
      <x:c r="A14" s="14" t="str">
        <x:v>H09</x:v>
      </x:c>
      <x:c r="B14" s="14" t="str">
        <x:v>Retained data and disposal responsibilities</x:v>
      </x:c>
      <x:c r="C14" s="14" t="str">
        <x:v>Holds, copy lineage, owners, key lifetime and sanitization</x:v>
      </x:c>
      <x:c r="D14" s="22" t="str"/>
      <x:c r="E14" s="22" t="str">
        <x:v>Not started</x:v>
      </x:c>
      <x:c r="F14" s="22" t="str"/>
      <x:c r="G14" s="22" t="str"/>
    </x:row>
    <x:row r="15" ht="38" customHeight="1">
      <x:c r="A15" s="14" t="str">
        <x:v>H10</x:v>
      </x:c>
      <x:c r="B15" s="14" t="str">
        <x:v>Actual initial G4 decision</x:v>
      </x:c>
      <x:c r="C15" s="14" t="str">
        <x:v>Scope-specific reviewed evidence and attributable authority before G3</x:v>
      </x:c>
      <x:c r="D15" s="22" t="str"/>
      <x:c r="E15" s="22" t="str">
        <x:v>Not started</x:v>
      </x:c>
      <x:c r="F15" s="22" t="str"/>
      <x:c r="G15" s="22" t="str"/>
    </x:row>
  </x:sheetData>
  <x:mergeCells>
    <x:mergeCell ref="A1:G1"/>
    <x:mergeCell ref="A2:G3"/>
  </x:mergeCells>
  <x:conditionalFormatting sqref="E6:E15">
    <x:cfRule type="expression" dxfId="14" priority="1">
      <x:formula>E6="Blocked"</x:formula>
    </x:cfRule>
    <x:cfRule type="expression" dxfId="15" priority="2">
      <x:formula>E6="Failed"</x:formula>
    </x:cfRule>
  </x:conditionalFormatting>
  <x:dataValidations count="1">
    <x:dataValidation type="list" sqref="E6:E15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fa071d71424f4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4" hidden="0" customWidth="1"/>
    <x:col min="3" max="3" width="46" hidden="0" customWidth="1"/>
    <x:col min="4" max="4" width="45" hidden="0" customWidth="1"/>
    <x:col min="5" max="5" width="46" hidden="0" customWidth="1"/>
    <x:col min="6" max="6" width="43" hidden="0" customWidth="1"/>
    <x:col min="7" max="7" width="43" hidden="0" customWidth="1"/>
    <x:col min="8" max="8" width="22" hidden="0" customWidth="1"/>
    <x:col min="9" max="9" width="43" hidden="0" customWidth="1"/>
  </x:cols>
  <x:sheetData>
    <x:row r="1" ht="30" customHeight="1">
      <x:c r="A1" s="3" t="str">
        <x:v>Actual recovery, migration and failback results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Service scope and consistency matter. All initial result fields remain Not run; no RTO/RPO or product support is pre-certified.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Exercise ID</x:v>
      </x:c>
      <x:c r="B5" s="19" t="str">
        <x:v>Failure / source / target</x:v>
      </x:c>
      <x:c r="C5" s="19" t="str">
        <x:v>Scope / RTO / RPO definition</x:v>
      </x:c>
      <x:c r="D5" s="19" t="str">
        <x:v>Writer / fencing evidence</x:v>
      </x:c>
      <x:c r="E5" s="19" t="str">
        <x:v>Keys / catalogue / dependencies</x:v>
      </x:c>
      <x:c r="F5" s="19" t="str">
        <x:v>Actual recovered point / time</x:v>
      </x:c>
      <x:c r="G5" s="19" t="str">
        <x:v>Data / security acceptance</x:v>
      </x:c>
      <x:c r="H5" s="19" t="str">
        <x:v>Result</x:v>
      </x:c>
      <x:c r="I5" s="19" t="str">
        <x:v>Authority / evidence</x:v>
      </x:c>
    </x:row>
    <x:row r="6" ht="38" customHeight="1">
      <x:c r="A6" s="14" t="str">
        <x:v>REC-01</x:v>
      </x:c>
      <x:c r="B6" s="22" t="str"/>
      <x:c r="C6" s="22" t="str"/>
      <x:c r="D6" s="22" t="str"/>
      <x:c r="E6" s="22" t="str"/>
      <x:c r="F6" s="22" t="str"/>
      <x:c r="G6" s="22" t="str"/>
      <x:c r="H6" s="22" t="str">
        <x:v>Not run</x:v>
      </x:c>
      <x:c r="I6" s="22" t="str"/>
    </x:row>
    <x:row r="7" ht="38" customHeight="1">
      <x:c r="A7" s="14" t="str">
        <x:v>REC-02</x:v>
      </x:c>
      <x:c r="B7" s="22" t="str"/>
      <x:c r="C7" s="22" t="str"/>
      <x:c r="D7" s="22" t="str"/>
      <x:c r="E7" s="22" t="str"/>
      <x:c r="F7" s="22" t="str"/>
      <x:c r="G7" s="22" t="str"/>
      <x:c r="H7" s="22" t="str">
        <x:v>Not run</x:v>
      </x:c>
      <x:c r="I7" s="22" t="str"/>
    </x:row>
    <x:row r="8" ht="38" customHeight="1">
      <x:c r="A8" s="14" t="str">
        <x:v>REC-03</x:v>
      </x:c>
      <x:c r="B8" s="22" t="str"/>
      <x:c r="C8" s="22" t="str"/>
      <x:c r="D8" s="22" t="str"/>
      <x:c r="E8" s="22" t="str"/>
      <x:c r="F8" s="22" t="str"/>
      <x:c r="G8" s="22" t="str"/>
      <x:c r="H8" s="22" t="str">
        <x:v>Not run</x:v>
      </x:c>
      <x:c r="I8" s="22" t="str"/>
    </x:row>
    <x:row r="9" ht="38" customHeight="1">
      <x:c r="A9" s="14" t="str">
        <x:v>REC-04</x:v>
      </x:c>
      <x:c r="B9" s="22" t="str"/>
      <x:c r="C9" s="22" t="str"/>
      <x:c r="D9" s="22" t="str"/>
      <x:c r="E9" s="22" t="str"/>
      <x:c r="F9" s="22" t="str"/>
      <x:c r="G9" s="22" t="str"/>
      <x:c r="H9" s="22" t="str">
        <x:v>Not run</x:v>
      </x:c>
      <x:c r="I9" s="22" t="str"/>
    </x:row>
    <x:row r="10" ht="38" customHeight="1">
      <x:c r="A10" s="14" t="str">
        <x:v>REC-05</x:v>
      </x:c>
      <x:c r="B10" s="22" t="str"/>
      <x:c r="C10" s="22" t="str"/>
      <x:c r="D10" s="22" t="str"/>
      <x:c r="E10" s="22" t="str"/>
      <x:c r="F10" s="22" t="str"/>
      <x:c r="G10" s="22" t="str"/>
      <x:c r="H10" s="22" t="str">
        <x:v>Not run</x:v>
      </x:c>
      <x:c r="I10" s="22" t="str"/>
    </x:row>
    <x:row r="11" ht="38" customHeight="1">
      <x:c r="A11" s="14" t="str">
        <x:v>REC-06</x:v>
      </x:c>
      <x:c r="B11" s="22" t="str"/>
      <x:c r="C11" s="22" t="str"/>
      <x:c r="D11" s="22" t="str"/>
      <x:c r="E11" s="22" t="str"/>
      <x:c r="F11" s="22" t="str"/>
      <x:c r="G11" s="22" t="str"/>
      <x:c r="H11" s="22" t="str">
        <x:v>Not run</x:v>
      </x:c>
      <x:c r="I11" s="22" t="str"/>
    </x:row>
    <x:row r="12" ht="38" customHeight="1">
      <x:c r="A12" s="14" t="str">
        <x:v>REC-07</x:v>
      </x:c>
      <x:c r="B12" s="22" t="str"/>
      <x:c r="C12" s="22" t="str"/>
      <x:c r="D12" s="22" t="str"/>
      <x:c r="E12" s="22" t="str"/>
      <x:c r="F12" s="22" t="str"/>
      <x:c r="G12" s="22" t="str"/>
      <x:c r="H12" s="22" t="str">
        <x:v>Not run</x:v>
      </x:c>
      <x:c r="I12" s="22" t="str"/>
    </x:row>
    <x:row r="13" ht="38" customHeight="1">
      <x:c r="A13" s="14" t="str">
        <x:v>REC-08</x:v>
      </x:c>
      <x:c r="B13" s="22" t="str"/>
      <x:c r="C13" s="22" t="str"/>
      <x:c r="D13" s="22" t="str"/>
      <x:c r="E13" s="22" t="str"/>
      <x:c r="F13" s="22" t="str"/>
      <x:c r="G13" s="22" t="str"/>
      <x:c r="H13" s="22" t="str">
        <x:v>Not run</x:v>
      </x:c>
      <x:c r="I13" s="22" t="str"/>
    </x:row>
  </x:sheetData>
  <x:mergeCells>
    <x:mergeCell ref="A1:I1"/>
    <x:mergeCell ref="A2:I3"/>
  </x:mergeCells>
  <x:conditionalFormatting sqref="H6:H13">
    <x:cfRule type="expression" dxfId="16" priority="1">
      <x:formula>H6="Blocked"</x:formula>
    </x:cfRule>
    <x:cfRule type="expression" dxfId="17" priority="2">
      <x:formula>H6="Failed"</x:formula>
    </x:cfRule>
  </x:conditionalFormatting>
  <x:dataValidations count="1">
    <x:dataValidation type="list" sqref="H6:H13">
      <x:formula1>"Not run,Passed,Failed,Blocked,Not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9940f3ad04a5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9" hidden="0" customWidth="1"/>
    <x:col min="3" max="3" width="43" hidden="0" customWidth="1"/>
    <x:col min="4" max="4" width="46" hidden="0" customWidth="1"/>
    <x:col min="5" max="5" width="43" hidden="0" customWidth="1"/>
    <x:col min="6" max="6" width="41" hidden="0" customWidth="1"/>
    <x:col min="7" max="7" width="47" hidden="0" customWidth="1"/>
    <x:col min="8" max="8" width="51" hidden="0" customWidth="1"/>
  </x:cols>
  <x:sheetData>
    <x:row r="1" ht="30" customHeight="1">
      <x:c r="A1" s="3" t="str">
        <x:v>Retained copies, holds, keys and disposition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Live-service retirement is separate from disposal of all data. Populate actual copies and obligations; identifiers below are empty record slots.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Record ID</x:v>
      </x:c>
      <x:c r="B5" s="19" t="str">
        <x:v>Former WSD / copy identity</x:v>
      </x:c>
      <x:c r="C5" s="19" t="str">
        <x:v>Location / access scope</x:v>
      </x:c>
      <x:c r="D5" s="19" t="str">
        <x:v>Retention / hold / owner</x:v>
      </x:c>
      <x:c r="E5" s="19" t="str">
        <x:v>Required key / catalogue</x:v>
      </x:c>
      <x:c r="F5" s="19" t="str">
        <x:v>Approved live cleanup</x:v>
      </x:c>
      <x:c r="G5" s="19" t="str">
        <x:v>Sanitization method / evidence</x:v>
      </x:c>
      <x:c r="H5" s="19" t="str">
        <x:v>Remaining obligation / next review</x:v>
      </x:c>
    </x:row>
    <x:row r="6" ht="38" customHeight="1">
      <x:c r="A6" s="14" t="str">
        <x:v>COPY-01</x:v>
      </x:c>
      <x:c r="B6" s="22" t="str"/>
      <x:c r="C6" s="22" t="str"/>
      <x:c r="D6" s="22" t="str"/>
      <x:c r="E6" s="22" t="str"/>
      <x:c r="F6" s="22" t="str"/>
      <x:c r="G6" s="22" t="str"/>
      <x:c r="H6" s="22" t="str"/>
    </x:row>
    <x:row r="7" ht="38" customHeight="1">
      <x:c r="A7" s="14" t="str">
        <x:v>COPY-02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38" customHeight="1">
      <x:c r="A8" s="14" t="str">
        <x:v>COPY-03</x:v>
      </x:c>
      <x:c r="B8" s="22" t="str"/>
      <x:c r="C8" s="22" t="str"/>
      <x:c r="D8" s="22" t="str"/>
      <x:c r="E8" s="22" t="str"/>
      <x:c r="F8" s="22" t="str"/>
      <x:c r="G8" s="22" t="str"/>
      <x:c r="H8" s="22" t="str"/>
    </x:row>
    <x:row r="9" ht="38" customHeight="1">
      <x:c r="A9" s="14" t="str">
        <x:v>COPY-04</x:v>
      </x:c>
      <x:c r="B9" s="22" t="str"/>
      <x:c r="C9" s="22" t="str"/>
      <x:c r="D9" s="22" t="str"/>
      <x:c r="E9" s="22" t="str"/>
      <x:c r="F9" s="22" t="str"/>
      <x:c r="G9" s="22" t="str"/>
      <x:c r="H9" s="22" t="str"/>
    </x:row>
    <x:row r="10" ht="38" customHeight="1">
      <x:c r="A10" s="14" t="str">
        <x:v>COPY-05</x:v>
      </x:c>
      <x:c r="B10" s="22" t="str"/>
      <x:c r="C10" s="22" t="str"/>
      <x:c r="D10" s="22" t="str"/>
      <x:c r="E10" s="22" t="str"/>
      <x:c r="F10" s="22" t="str"/>
      <x:c r="G10" s="22" t="str"/>
      <x:c r="H10" s="22" t="str"/>
    </x:row>
    <x:row r="11" ht="38" customHeight="1">
      <x:c r="A11" s="14" t="str">
        <x:v>COPY-06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 ht="38" customHeight="1">
      <x:c r="A12" s="14" t="str">
        <x:v>COPY-07</x:v>
      </x:c>
      <x:c r="B12" s="22" t="str"/>
      <x:c r="C12" s="22" t="str"/>
      <x:c r="D12" s="22" t="str"/>
      <x:c r="E12" s="22" t="str"/>
      <x:c r="F12" s="22" t="str"/>
      <x:c r="G12" s="22" t="str"/>
      <x:c r="H12" s="22" t="str"/>
    </x:row>
    <x:row r="13" ht="38" customHeight="1">
      <x:c r="A13" s="14" t="str">
        <x:v>COPY-08</x:v>
      </x:c>
      <x:c r="B13" s="22" t="str"/>
      <x:c r="C13" s="22" t="str"/>
      <x:c r="D13" s="22" t="str"/>
      <x:c r="E13" s="22" t="str"/>
      <x:c r="F13" s="22" t="str"/>
      <x:c r="G13" s="22" t="str"/>
      <x:c r="H13" s="22" t="str"/>
    </x:row>
    <x:row r="14" ht="38" customHeight="1">
      <x:c r="A14" s="14" t="str">
        <x:v>COPY-09</x:v>
      </x:c>
      <x:c r="B14" s="22" t="str"/>
      <x:c r="C14" s="22" t="str"/>
      <x:c r="D14" s="22" t="str"/>
      <x:c r="E14" s="22" t="str"/>
      <x:c r="F14" s="22" t="str"/>
      <x:c r="G14" s="22" t="str"/>
      <x:c r="H14" s="22" t="str"/>
    </x:row>
    <x:row r="15" ht="38" customHeight="1">
      <x:c r="A15" s="14" t="str">
        <x:v>COPY-10</x:v>
      </x:c>
      <x:c r="B15" s="22" t="str"/>
      <x:c r="C15" s="22" t="str"/>
      <x:c r="D15" s="22" t="str"/>
      <x:c r="E15" s="22" t="str"/>
      <x:c r="F15" s="22" t="str"/>
      <x:c r="G15" s="22" t="str"/>
      <x:c r="H15" s="22" t="str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6abf3ab2c11f417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0" hidden="0" customWidth="1"/>
    <x:col min="3" max="3" width="43" hidden="0" customWidth="1"/>
    <x:col min="4" max="4" width="47" hidden="0" customWidth="1"/>
    <x:col min="5" max="5" width="52" hidden="0" customWidth="1"/>
    <x:col min="6" max="6" width="47" hidden="0" customWidth="1"/>
    <x:col min="7" max="7" width="46" hidden="0" customWidth="1"/>
    <x:col min="8" max="8" width="22" hidden="0" customWidth="1"/>
  </x:cols>
  <x:sheetData>
    <x:row r="1" ht="30" customHeight="1">
      <x:c r="A1" s="3" t="str">
        <x:v>Controlled change and approval-impact register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A material change can invalidate previous qualification or evidence. Record the affected scope and actual authority rather than rewriting history.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Change ID</x:v>
      </x:c>
      <x:c r="B5" s="19" t="str">
        <x:v>Date / owner</x:v>
      </x:c>
      <x:c r="C5" s="19" t="str">
        <x:v>Scope / baseline revision</x:v>
      </x:c>
      <x:c r="D5" s="19" t="str">
        <x:v>Affected architecture / interfaces</x:v>
      </x:c>
      <x:c r="E5" s="19" t="str">
        <x:v>Build / rollback / safe stop</x:v>
      </x:c>
      <x:c r="F5" s="19" t="str">
        <x:v>Required re-verification</x:v>
      </x:c>
      <x:c r="G5" s="19" t="str">
        <x:v>Approval / execution evidence</x:v>
      </x:c>
      <x:c r="H5" s="19" t="str">
        <x:v>Status</x:v>
      </x:c>
    </x:row>
    <x:row r="6" ht="38" customHeight="1">
      <x:c r="A6" s="14" t="str">
        <x:v>CHG-01</x:v>
      </x:c>
      <x:c r="B6" s="22" t="str"/>
      <x:c r="C6" s="22" t="str"/>
      <x:c r="D6" s="22" t="str"/>
      <x:c r="E6" s="22" t="str"/>
      <x:c r="F6" s="22" t="str"/>
      <x:c r="G6" s="22" t="str"/>
      <x:c r="H6" s="22" t="str">
        <x:v>Not started</x:v>
      </x:c>
    </x:row>
    <x:row r="7" ht="38" customHeight="1">
      <x:c r="A7" s="14" t="str">
        <x:v>CHG-02</x:v>
      </x:c>
      <x:c r="B7" s="22" t="str"/>
      <x:c r="C7" s="22" t="str"/>
      <x:c r="D7" s="22" t="str"/>
      <x:c r="E7" s="22" t="str"/>
      <x:c r="F7" s="22" t="str"/>
      <x:c r="G7" s="22" t="str"/>
      <x:c r="H7" s="22" t="str">
        <x:v>Not started</x:v>
      </x:c>
    </x:row>
    <x:row r="8" ht="38" customHeight="1">
      <x:c r="A8" s="14" t="str">
        <x:v>CHG-03</x:v>
      </x:c>
      <x:c r="B8" s="22" t="str"/>
      <x:c r="C8" s="22" t="str"/>
      <x:c r="D8" s="22" t="str"/>
      <x:c r="E8" s="22" t="str"/>
      <x:c r="F8" s="22" t="str"/>
      <x:c r="G8" s="22" t="str"/>
      <x:c r="H8" s="22" t="str">
        <x:v>Not started</x:v>
      </x:c>
    </x:row>
    <x:row r="9" ht="38" customHeight="1">
      <x:c r="A9" s="14" t="str">
        <x:v>CHG-04</x:v>
      </x:c>
      <x:c r="B9" s="22" t="str"/>
      <x:c r="C9" s="22" t="str"/>
      <x:c r="D9" s="22" t="str"/>
      <x:c r="E9" s="22" t="str"/>
      <x:c r="F9" s="22" t="str"/>
      <x:c r="G9" s="22" t="str"/>
      <x:c r="H9" s="22" t="str">
        <x:v>Not started</x:v>
      </x:c>
    </x:row>
    <x:row r="10" ht="38" customHeight="1">
      <x:c r="A10" s="14" t="str">
        <x:v>CHG-05</x:v>
      </x:c>
      <x:c r="B10" s="22" t="str"/>
      <x:c r="C10" s="22" t="str"/>
      <x:c r="D10" s="22" t="str"/>
      <x:c r="E10" s="22" t="str"/>
      <x:c r="F10" s="22" t="str"/>
      <x:c r="G10" s="22" t="str"/>
      <x:c r="H10" s="22" t="str">
        <x:v>Not started</x:v>
      </x:c>
    </x:row>
    <x:row r="11" ht="38" customHeight="1">
      <x:c r="A11" s="14" t="str">
        <x:v>CHG-06</x:v>
      </x:c>
      <x:c r="B11" s="22" t="str"/>
      <x:c r="C11" s="22" t="str"/>
      <x:c r="D11" s="22" t="str"/>
      <x:c r="E11" s="22" t="str"/>
      <x:c r="F11" s="22" t="str"/>
      <x:c r="G11" s="22" t="str"/>
      <x:c r="H11" s="22" t="str">
        <x:v>Not started</x:v>
      </x:c>
    </x:row>
    <x:row r="12" ht="38" customHeight="1">
      <x:c r="A12" s="14" t="str">
        <x:v>CHG-07</x:v>
      </x:c>
      <x:c r="B12" s="22" t="str"/>
      <x:c r="C12" s="22" t="str"/>
      <x:c r="D12" s="22" t="str"/>
      <x:c r="E12" s="22" t="str"/>
      <x:c r="F12" s="22" t="str"/>
      <x:c r="G12" s="22" t="str"/>
      <x:c r="H12" s="22" t="str">
        <x:v>Not started</x:v>
      </x:c>
    </x:row>
    <x:row r="13" ht="38" customHeight="1">
      <x:c r="A13" s="14" t="str">
        <x:v>CHG-08</x:v>
      </x:c>
      <x:c r="B13" s="22" t="str"/>
      <x:c r="C13" s="22" t="str"/>
      <x:c r="D13" s="22" t="str"/>
      <x:c r="E13" s="22" t="str"/>
      <x:c r="F13" s="22" t="str"/>
      <x:c r="G13" s="22" t="str"/>
      <x:c r="H13" s="22" t="str">
        <x:v>Not started</x:v>
      </x:c>
    </x:row>
    <x:row r="14" ht="38" customHeight="1">
      <x:c r="A14" s="14" t="str">
        <x:v>CHG-09</x:v>
      </x:c>
      <x:c r="B14" s="22" t="str"/>
      <x:c r="C14" s="22" t="str"/>
      <x:c r="D14" s="22" t="str"/>
      <x:c r="E14" s="22" t="str"/>
      <x:c r="F14" s="22" t="str"/>
      <x:c r="G14" s="22" t="str"/>
      <x:c r="H14" s="22" t="str">
        <x:v>Not started</x:v>
      </x:c>
    </x:row>
    <x:row r="15" ht="38" customHeight="1">
      <x:c r="A15" s="14" t="str">
        <x:v>CHG-10</x:v>
      </x:c>
      <x:c r="B15" s="22" t="str"/>
      <x:c r="C15" s="22" t="str"/>
      <x:c r="D15" s="22" t="str"/>
      <x:c r="E15" s="22" t="str"/>
      <x:c r="F15" s="22" t="str"/>
      <x:c r="G15" s="22" t="str"/>
      <x:c r="H15" s="22" t="str">
        <x:v>Not started</x:v>
      </x:c>
    </x:row>
  </x:sheetData>
  <x:mergeCells>
    <x:mergeCell ref="A1:H1"/>
    <x:mergeCell ref="A2:H3"/>
  </x:mergeCells>
  <x:conditionalFormatting sqref="H6:H15">
    <x:cfRule type="expression" dxfId="18" priority="1">
      <x:formula>H6="Blocked"</x:formula>
    </x:cfRule>
    <x:cfRule type="expression" dxfId="19" priority="2">
      <x:formula>H6="Failed"</x:formula>
    </x:cfRule>
  </x:conditionalFormatting>
  <x:dataValidations count="1">
    <x:dataValidation type="list" sqref="H6:H15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cd95e3272a4f1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24" t="str">
        <x:v>IMPLEMENTATION KIT | EXECUTION AND ACCEPTANCE</x:v>
      </x:c>
      <x:c r="B1" s="24"/>
      <x:c r="C1" s="24"/>
      <x:c r="D1" s="24"/>
      <x:c r="E1" s="24"/>
      <x:c r="F1" s="24"/>
      <x:c r="G1" s="24"/>
      <x:c r="H1" s="24"/>
    </x:row>
    <x:row r="2" ht="25" customHeight="1">
      <x:c r="A2" s="28" t="str">
        <x:v>Assign actual scope, owners and evidence before execution. All reference procedures start not run; no gate decision is supplied. Counts are record-quality indicators, never authorization.</x:v>
      </x:c>
      <x:c r="B2" s="28"/>
      <x:c r="C2" s="28"/>
      <x:c r="D2" s="28"/>
      <x:c r="E2" s="28"/>
      <x:c r="F2" s="28"/>
      <x:c r="G2" s="28"/>
      <x:c r="H2" s="28"/>
    </x:row>
    <x:row r="3" ht="25" customHeight="1">
      <x:c r="A3" s="28"/>
      <x:c r="B3" s="28"/>
      <x:c r="C3" s="28"/>
      <x:c r="D3" s="28"/>
      <x:c r="E3" s="28"/>
      <x:c r="F3" s="28"/>
      <x:c r="G3" s="28"/>
      <x:c r="H3" s="28"/>
    </x:row>
    <x:row r="5" ht="28" customHeight="1">
      <x:c r="A5" s="38" t="str">
        <x:v>Implementation deliverables</x:v>
      </x:c>
      <x:c r="B5" s="38"/>
      <x:c r="C5" s="38"/>
      <x:c r="D5" s="38"/>
      <x:c r="E5" s="39" t="n">
        <x:f>COUNTA(Deliverables!A6:A15)</x:f>
        <x:v>10</x:v>
      </x:c>
      <x:c r="F5" s="39"/>
      <x:c r="G5" s="40"/>
      <x:c r="H5" s="40"/>
    </x:row>
    <x:row r="6" ht="28" customHeight="1">
      <x:c r="A6" s="38" t="str">
        <x:v>Reference steps not run</x:v>
      </x:c>
      <x:c r="B6" s="38"/>
      <x:c r="C6" s="38"/>
      <x:c r="D6" s="38"/>
      <x:c r="E6" s="39" t="n">
        <x:f>COUNTIF(Build_Steps!I6:I66,"Not run")</x:f>
        <x:v>61</x:v>
      </x:c>
      <x:c r="F6" s="39"/>
      <x:c r="G6" s="40"/>
      <x:c r="H6" s="40"/>
    </x:row>
    <x:row r="7" ht="28" customHeight="1">
      <x:c r="A7" s="38" t="str">
        <x:v>Unresolved applicability</x:v>
      </x:c>
      <x:c r="B7" s="38"/>
      <x:c r="C7" s="38"/>
      <x:c r="D7" s="38"/>
      <x:c r="E7" s="39" t="n">
        <x:f>COUNTIF(Test_Applicability!G6:G109,"Unresolved")</x:f>
        <x:v>104</x:v>
      </x:c>
      <x:c r="F7" s="39"/>
      <x:c r="G7" s="40"/>
      <x:c r="H7" s="40"/>
    </x:row>
    <x:row r="8" ht="28" customHeight="1">
      <x:c r="A8" s="38" t="str">
        <x:v>Test result rows not run</x:v>
      </x:c>
      <x:c r="B8" s="38"/>
      <x:c r="C8" s="38"/>
      <x:c r="D8" s="38"/>
      <x:c r="E8" s="39" t="n">
        <x:f>COUNTIF(Test_Results!C6:C109,"Not run")</x:f>
        <x:v>104</x:v>
      </x:c>
      <x:c r="F8" s="39"/>
      <x:c r="G8" s="40"/>
      <x:c r="H8" s="40"/>
    </x:row>
    <x:row r="9" ht="28" customHeight="1">
      <x:c r="A9" s="38" t="str">
        <x:v>Gate decisions not issued</x:v>
      </x:c>
      <x:c r="B9" s="38"/>
      <x:c r="C9" s="38"/>
      <x:c r="D9" s="38"/>
      <x:c r="E9" s="39" t="n">
        <x:f>COUNTIF(Gate_Decisions!F6:F12,"Not issued")</x:f>
        <x:v>7</x:v>
      </x:c>
      <x:c r="F9" s="39"/>
      <x:c r="G9" s="40"/>
      <x:c r="H9" s="40"/>
    </x:row>
    <x:row r="10">
      <x:c r="A10" s="40"/>
      <x:c r="B10" s="40"/>
      <x:c r="C10" s="40"/>
      <x:c r="D10" s="40"/>
      <x:c r="E10" s="40"/>
      <x:c r="F10" s="40"/>
      <x:c r="G10" s="40"/>
      <x:c r="H10" s="40"/>
    </x:row>
    <x:row r="11" ht="46" customHeight="1">
      <x:c r="A11" s="28" t="str">
        <x:v>1 • Preflight</x:v>
      </x:c>
      <x:c r="B11" s="28"/>
      <x:c r="C11" s="28" t="str">
        <x:v>Use RB-00 and IT §1. Identify the authorized target and controlled engineering release.</x:v>
      </x:c>
      <x:c r="D11" s="28"/>
      <x:c r="E11" s="28"/>
      <x:c r="F11" s="28"/>
      <x:c r="G11" s="28"/>
      <x:c r="H11" s="28"/>
    </x:row>
    <x:row r="12" ht="46" customHeight="1">
      <x:c r="A12" s="28" t="str">
        <x:v>2 • Commission</x:v>
      </x:c>
      <x:c r="B12" s="28"/>
      <x:c r="C12" s="28" t="str">
        <x:v>Select P0–P6 work and one vendor track; preserve native ownership and dependency handoffs.</x:v>
      </x:c>
      <x:c r="D12" s="28"/>
      <x:c r="E12" s="28"/>
      <x:c r="F12" s="28"/>
      <x:c r="G12" s="28"/>
      <x:c r="H12" s="28"/>
    </x:row>
    <x:row r="13" ht="46" customHeight="1">
      <x:c r="A13" s="28" t="str">
        <x:v>3 • Qualify</x:v>
      </x:c>
      <x:c r="B13" s="28"/>
      <x:c r="C13" s="28" t="str">
        <x:v>Restricted disposable fixtures generate observations; they cannot authorize production.</x:v>
      </x:c>
      <x:c r="D13" s="28"/>
      <x:c r="E13" s="28"/>
      <x:c r="F13" s="28"/>
      <x:c r="G13" s="28"/>
      <x:c r="H13" s="28"/>
    </x:row>
    <x:row r="14" ht="46" customHeight="1">
      <x:c r="A14" s="28" t="str">
        <x:v>4 • Ready / activate</x:v>
      </x:c>
      <x:c r="B14" s="28"/>
      <x:c r="C14" s="28" t="str">
        <x:v>G0/G1/G2 and applicable initial G4 plus current tests and valid operating authority precede production G3.</x:v>
      </x:c>
      <x:c r="D14" s="28"/>
      <x:c r="E14" s="28"/>
      <x:c r="F14" s="28"/>
      <x:c r="G14" s="28"/>
      <x:c r="H14" s="28"/>
    </x:row>
    <x:row r="15" ht="46" customHeight="1">
      <x:c r="A15" s="28" t="str">
        <x:v>5 • Evidence</x:v>
      </x:c>
      <x:c r="B15" s="28"/>
      <x:c r="C15" s="28" t="str">
        <x:v>Use distinct execution IDs for each actual run and record actual scope, result, reviewer and protected artifact.</x:v>
      </x:c>
      <x:c r="D15" s="28"/>
      <x:c r="E15" s="28"/>
      <x:c r="F15" s="28"/>
      <x:c r="G15" s="28"/>
      <x:c r="H15" s="28"/>
    </x:row>
    <x:row r="16" ht="46" customHeight="1">
      <x:c r="A16" s="28" t="str">
        <x:v>6 • Operate</x:v>
      </x:c>
      <x:c r="B16" s="28"/>
      <x:c r="C16" s="28" t="str">
        <x:v>Handover current as-built, recovery, support, incidents, capacity and retained obligations; re-evaluate material changes.</x:v>
      </x:c>
      <x:c r="D16" s="28"/>
      <x:c r="E16" s="28"/>
      <x:c r="F16" s="28"/>
      <x:c r="G16" s="28"/>
      <x:c r="H16" s="28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40"/>
      <x:c r="B19" s="40"/>
      <x:c r="C19" s="40"/>
      <x:c r="D19" s="40"/>
      <x:c r="E19" s="40"/>
      <x:c r="F19" s="40"/>
      <x:c r="G19" s="40"/>
      <x:c r="H19" s="40"/>
    </x:row>
    <x:row r="20">
      <x:c r="A20" s="40"/>
      <x:c r="B20" s="40"/>
      <x:c r="C20" s="40"/>
      <x:c r="D20" s="40"/>
      <x:c r="E20" s="40"/>
      <x:c r="F20" s="40"/>
      <x:c r="G20" s="40"/>
      <x:c r="H20" s="40"/>
    </x:row>
  </x:sheetData>
  <x:mergeCells>
    <x:mergeCell ref="A1:H1"/>
    <x:mergeCell ref="A2:H3"/>
    <x:mergeCell ref="A5:D5"/>
    <x:mergeCell ref="E5:F5"/>
    <x:mergeCell ref="A6:D6"/>
    <x:mergeCell ref="E6:F6"/>
    <x:mergeCell ref="A7:D7"/>
    <x:mergeCell ref="E7:F7"/>
    <x:mergeCell ref="A8:D8"/>
    <x:mergeCell ref="E8:F8"/>
    <x:mergeCell ref="A9:D9"/>
    <x:mergeCell ref="E9:F9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</x:mergeCells>
  <x:pageMargins left="0.7" right="0.7" top="0.75" bottom="0.75" header="0.3" footer="0.3"/>
</x:worksheet>
</file>